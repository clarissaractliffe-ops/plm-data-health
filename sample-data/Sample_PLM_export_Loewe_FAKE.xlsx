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erials" sheetId="1" state="visible" r:id="rId3"/>
    <sheet name="Colours" sheetId="2" state="visible" r:id="rId4"/>
    <sheet name="Styles &amp; SKUs" sheetId="3" state="visible" r:id="rId5"/>
    <sheet name="Summary" sheetId="4" state="visible" r:id="rId6"/>
    <sheet name="Read m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<sst xmlns="http://schemas.openxmlformats.org/spreadsheetml/2006/main" count="11579" uniqueCount="2183">
  <si>
    <t xml:space="preserve">Material code</t>
  </si>
  <si>
    <t xml:space="preserve">Description</t>
  </si>
  <si>
    <t xml:space="preserve">Collection</t>
  </si>
  <si>
    <t xml:space="preserve">Supplier</t>
  </si>
  <si>
    <t xml:space="preserve">Supplier code</t>
  </si>
  <si>
    <t xml:space="preserve">Category</t>
  </si>
  <si>
    <t xml:space="preserve">Composition</t>
  </si>
  <si>
    <t xml:space="preserve">Weight</t>
  </si>
  <si>
    <t xml:space="preserve">Width / skin size</t>
  </si>
  <si>
    <t xml:space="preserve">Price</t>
  </si>
  <si>
    <t xml:space="preserve">Currency</t>
  </si>
  <si>
    <t xml:space="preserve">Price unit</t>
  </si>
  <si>
    <t xml:space="preserve">MOQ</t>
  </si>
  <si>
    <t xml:space="preserve">Lead time (wks)</t>
  </si>
  <si>
    <t xml:space="preserve">Country of origin</t>
  </si>
  <si>
    <t xml:space="preserve">Certification</t>
  </si>
  <si>
    <t xml:space="preserve">Status</t>
  </si>
  <si>
    <t xml:space="preserve">Created by</t>
  </si>
  <si>
    <t xml:space="preserve">Created on</t>
  </si>
  <si>
    <t xml:space="preserve">Last modified</t>
  </si>
  <si>
    <t xml:space="preserve">Comments</t>
  </si>
  <si>
    <t xml:space="preserve">Colours ordered (calc)</t>
  </si>
  <si>
    <t xml:space="preserve">FAB-26W-1001</t>
  </si>
  <si>
    <t xml:space="preserve">Double-face wool cloth</t>
  </si>
  <si>
    <t xml:space="preserve">FW26</t>
  </si>
  <si>
    <t xml:space="preserve">Lanificio Ardesia</t>
  </si>
  <si>
    <t xml:space="preserve">SUP-0112</t>
  </si>
  <si>
    <t xml:space="preserve">Wool</t>
  </si>
  <si>
    <t xml:space="preserve">90% WV 10% WS</t>
  </si>
  <si>
    <t xml:space="preserve">556 g/m²</t>
  </si>
  <si>
    <t xml:space="preserve">150 cm</t>
  </si>
  <si>
    <t xml:space="preserve">EUR</t>
  </si>
  <si>
    <t xml:space="preserve">€/m</t>
  </si>
  <si>
    <t xml:space="preserve">Italy</t>
  </si>
  <si>
    <t xml:space="preserve">No certification</t>
  </si>
  <si>
    <t xml:space="preserve">On hold</t>
  </si>
  <si>
    <t xml:space="preserve">L. Martín</t>
  </si>
  <si>
    <t xml:space="preserve">Supplier capacity issue</t>
  </si>
  <si>
    <t xml:space="preserve">FAB-26W-1005</t>
  </si>
  <si>
    <t xml:space="preserve">Waxed cotton</t>
  </si>
  <si>
    <t xml:space="preserve">Kōzan Weaving</t>
  </si>
  <si>
    <t xml:space="preserve">SUP-0311</t>
  </si>
  <si>
    <t xml:space="preserve">Technical</t>
  </si>
  <si>
    <t xml:space="preserve">100% PA</t>
  </si>
  <si>
    <t xml:space="preserve">163 g/m²</t>
  </si>
  <si>
    <t xml:space="preserve">145 cm</t>
  </si>
  <si>
    <t xml:space="preserve">Japan</t>
  </si>
  <si>
    <t xml:space="preserve">GRS</t>
  </si>
  <si>
    <t xml:space="preserve">Approved</t>
  </si>
  <si>
    <t xml:space="preserve">V. Roux</t>
  </si>
  <si>
    <t xml:space="preserve">FAB-26W-1010</t>
  </si>
  <si>
    <t xml:space="preserve">Cotton poplin</t>
  </si>
  <si>
    <t xml:space="preserve">Tessitura Morano</t>
  </si>
  <si>
    <t xml:space="preserve">SUP-0147</t>
  </si>
  <si>
    <t xml:space="preserve">Cotton</t>
  </si>
  <si>
    <t xml:space="preserve">100% CO (organic)</t>
  </si>
  <si>
    <t xml:space="preserve">389 g/m²</t>
  </si>
  <si>
    <t xml:space="preserve">GOTS</t>
  </si>
  <si>
    <t xml:space="preserve">C. Ibáñez</t>
  </si>
  <si>
    <t xml:space="preserve">Exclusive to Loewe</t>
  </si>
  <si>
    <t xml:space="preserve">FAB-26W-1012</t>
  </si>
  <si>
    <t xml:space="preserve">Silk satin</t>
  </si>
  <si>
    <t xml:space="preserve">Soieries Bellecour</t>
  </si>
  <si>
    <t xml:space="preserve">SUP-0174</t>
  </si>
  <si>
    <t xml:space="preserve">Silk</t>
  </si>
  <si>
    <t xml:space="preserve">100% SE</t>
  </si>
  <si>
    <t xml:space="preserve">139 g/m²</t>
  </si>
  <si>
    <t xml:space="preserve">France</t>
  </si>
  <si>
    <t xml:space="preserve">In development</t>
  </si>
  <si>
    <t xml:space="preserve">FAB-26W-1019</t>
  </si>
  <si>
    <t xml:space="preserve">Washed linen</t>
  </si>
  <si>
    <t xml:space="preserve">Linificio Brianza</t>
  </si>
  <si>
    <t xml:space="preserve">SUP-0126</t>
  </si>
  <si>
    <t xml:space="preserve">Linen</t>
  </si>
  <si>
    <t xml:space="preserve">100% LI</t>
  </si>
  <si>
    <t xml:space="preserve">234 g/m²</t>
  </si>
  <si>
    <t xml:space="preserve">European Flax</t>
  </si>
  <si>
    <t xml:space="preserve">FAB-26W-1024</t>
  </si>
  <si>
    <t xml:space="preserve">98% CO 2% EA</t>
  </si>
  <si>
    <t xml:space="preserve">110 g/m²</t>
  </si>
  <si>
    <t xml:space="preserve">A. Costa</t>
  </si>
  <si>
    <t xml:space="preserve">Waiting for lab dip</t>
  </si>
  <si>
    <t xml:space="preserve">LEA-26W-1029</t>
  </si>
  <si>
    <t xml:space="preserve">Glazed calfskin</t>
  </si>
  <si>
    <t xml:space="preserve">Curtidos Valle del Ubrique</t>
  </si>
  <si>
    <t xml:space="preserve">SUP-0021</t>
  </si>
  <si>
    <t xml:space="preserve">Leather</t>
  </si>
  <si>
    <t xml:space="preserve">100% lamb leather</t>
  </si>
  <si>
    <t xml:space="preserve">0.7 mm</t>
  </si>
  <si>
    <t xml:space="preserve">6-7 sqft</t>
  </si>
  <si>
    <t xml:space="preserve">€/sqft</t>
  </si>
  <si>
    <t xml:space="preserve">Spain</t>
  </si>
  <si>
    <t xml:space="preserve">LWG Gold</t>
  </si>
  <si>
    <t xml:space="preserve">FAB-26W-1031</t>
  </si>
  <si>
    <t xml:space="preserve">80% WV 20% PA</t>
  </si>
  <si>
    <t xml:space="preserve">284 g/m²</t>
  </si>
  <si>
    <t xml:space="preserve">148 cm</t>
  </si>
  <si>
    <t xml:space="preserve">FAB-26W-1037</t>
  </si>
  <si>
    <t xml:space="preserve">Viscose jersey</t>
  </si>
  <si>
    <t xml:space="preserve">Jersey</t>
  </si>
  <si>
    <t xml:space="preserve">95% CV 5% EA</t>
  </si>
  <si>
    <t xml:space="preserve">255 g/m²</t>
  </si>
  <si>
    <t xml:space="preserve">160 cm</t>
  </si>
  <si>
    <t xml:space="preserve">RWS</t>
  </si>
  <si>
    <t xml:space="preserve">FAB-26W-1038</t>
  </si>
  <si>
    <t xml:space="preserve">Linen canvas</t>
  </si>
  <si>
    <t xml:space="preserve">55% LI 45% CO</t>
  </si>
  <si>
    <t xml:space="preserve">218 g/m²</t>
  </si>
  <si>
    <t xml:space="preserve">LEA-26W-1040</t>
  </si>
  <si>
    <t xml:space="preserve">Suede goatskin</t>
  </si>
  <si>
    <t xml:space="preserve">Conceria Valdarno</t>
  </si>
  <si>
    <t xml:space="preserve">SUP-0058</t>
  </si>
  <si>
    <t xml:space="preserve">0.6 mm</t>
  </si>
  <si>
    <t xml:space="preserve">5-6 sqft</t>
  </si>
  <si>
    <t xml:space="preserve">LEA-26W-1044</t>
  </si>
  <si>
    <t xml:space="preserve">Shearling lamb</t>
  </si>
  <si>
    <t xml:space="preserve">Pieles del Guadalete</t>
  </si>
  <si>
    <t xml:space="preserve">SUP-0039</t>
  </si>
  <si>
    <t xml:space="preserve">100% lamb shearling</t>
  </si>
  <si>
    <t xml:space="preserve">1.4 mm</t>
  </si>
  <si>
    <t xml:space="preserve">7-9 sqft</t>
  </si>
  <si>
    <t xml:space="preserve">LEA-26W-1045</t>
  </si>
  <si>
    <t xml:space="preserve">1.3 mm</t>
  </si>
  <si>
    <t xml:space="preserve">18-22 sqft</t>
  </si>
  <si>
    <t xml:space="preserve">n/a</t>
  </si>
  <si>
    <t xml:space="preserve">LEA-26W-1046</t>
  </si>
  <si>
    <t xml:space="preserve">Calf box leather</t>
  </si>
  <si>
    <t xml:space="preserve">100% goat leather</t>
  </si>
  <si>
    <t xml:space="preserve">LWG Silver</t>
  </si>
  <si>
    <t xml:space="preserve">Strike-off approved</t>
  </si>
  <si>
    <t xml:space="preserve">FAB-26W-1051</t>
  </si>
  <si>
    <t xml:space="preserve">Wool melton</t>
  </si>
  <si>
    <t xml:space="preserve">70% WV 30% WM</t>
  </si>
  <si>
    <t xml:space="preserve">363 g/m²</t>
  </si>
  <si>
    <t xml:space="preserve">152 cm</t>
  </si>
  <si>
    <t xml:space="preserve">Top-up possible from FW25 leftovers</t>
  </si>
  <si>
    <t xml:space="preserve">LEA-26W-1053</t>
  </si>
  <si>
    <t xml:space="preserve">Nappa lambskin</t>
  </si>
  <si>
    <t xml:space="preserve">1.1 mm</t>
  </si>
  <si>
    <t xml:space="preserve">FAB-26W-1057</t>
  </si>
  <si>
    <t xml:space="preserve">100% WV</t>
  </si>
  <si>
    <t xml:space="preserve">482 g/m²</t>
  </si>
  <si>
    <t xml:space="preserve">LEA-26W-1061</t>
  </si>
  <si>
    <t xml:space="preserve">0.8 mm</t>
  </si>
  <si>
    <t xml:space="preserve">M. Duval</t>
  </si>
  <si>
    <t xml:space="preserve">LEA-26W-1063</t>
  </si>
  <si>
    <t xml:space="preserve">100% calf leather</t>
  </si>
  <si>
    <t xml:space="preserve">FAB-26W-1064</t>
  </si>
  <si>
    <t xml:space="preserve">Merino rib</t>
  </si>
  <si>
    <t xml:space="preserve">92% SE 8% EA</t>
  </si>
  <si>
    <t xml:space="preserve">184 g/m²</t>
  </si>
  <si>
    <t xml:space="preserve">170 cm</t>
  </si>
  <si>
    <t xml:space="preserve">OEKO-TEX</t>
  </si>
  <si>
    <t xml:space="preserve">FAB-26W-1067</t>
  </si>
  <si>
    <t xml:space="preserve">Cotton canvas</t>
  </si>
  <si>
    <t xml:space="preserve">Hilaturas Ebro</t>
  </si>
  <si>
    <t xml:space="preserve">SUP-0203</t>
  </si>
  <si>
    <t xml:space="preserve">209 g/m²</t>
  </si>
  <si>
    <t xml:space="preserve">Price to renegotiate</t>
  </si>
  <si>
    <t xml:space="preserve">FAB-26W-1069</t>
  </si>
  <si>
    <t xml:space="preserve">100% CO</t>
  </si>
  <si>
    <t xml:space="preserve">LEA-26W-1075</t>
  </si>
  <si>
    <t xml:space="preserve">Grained calfskin</t>
  </si>
  <si>
    <t xml:space="preserve">FAB-26W-1081</t>
  </si>
  <si>
    <t xml:space="preserve">LEA-26W-1082</t>
  </si>
  <si>
    <t xml:space="preserve">1.0 mm</t>
  </si>
  <si>
    <t xml:space="preserve">LEA-26W-1089</t>
  </si>
  <si>
    <t xml:space="preserve">FAB-26W-1092</t>
  </si>
  <si>
    <t xml:space="preserve">Organic cotton twill</t>
  </si>
  <si>
    <t xml:space="preserve">297 g/m²</t>
  </si>
  <si>
    <t xml:space="preserve">YRN-26W-1097</t>
  </si>
  <si>
    <t xml:space="preserve">Mohair bouclé yarn</t>
  </si>
  <si>
    <t xml:space="preserve">Maglificio Orobico</t>
  </si>
  <si>
    <t xml:space="preserve">SUP-0188</t>
  </si>
  <si>
    <t xml:space="preserve">Knit yarn</t>
  </si>
  <si>
    <t xml:space="preserve">100% WO merino</t>
  </si>
  <si>
    <t xml:space="preserve">9 Nm</t>
  </si>
  <si>
    <t xml:space="preserve">Cone (yarn)</t>
  </si>
  <si>
    <t xml:space="preserve">€/kg</t>
  </si>
  <si>
    <t xml:space="preserve">LEA-26W-1103</t>
  </si>
  <si>
    <t xml:space="preserve">FAB-26W-1110</t>
  </si>
  <si>
    <t xml:space="preserve">354 g/m²</t>
  </si>
  <si>
    <t xml:space="preserve">FAB-26W-1114</t>
  </si>
  <si>
    <t xml:space="preserve">496 g/m²</t>
  </si>
  <si>
    <t xml:space="preserve">FAB-26W-1121</t>
  </si>
  <si>
    <t xml:space="preserve">70% CV 30% SE</t>
  </si>
  <si>
    <t xml:space="preserve">104 g/m²</t>
  </si>
  <si>
    <t xml:space="preserve">LEA-26W-1128</t>
  </si>
  <si>
    <t xml:space="preserve">FAB-26W-1133</t>
  </si>
  <si>
    <t xml:space="preserve">Cashmere jersey</t>
  </si>
  <si>
    <t xml:space="preserve">267 g/m²</t>
  </si>
  <si>
    <t xml:space="preserve">LEA-26W-1137</t>
  </si>
  <si>
    <t xml:space="preserve">LEA-26W-1139</t>
  </si>
  <si>
    <t xml:space="preserve">FAB-26W-1143</t>
  </si>
  <si>
    <t xml:space="preserve">176 g/m²</t>
  </si>
  <si>
    <t xml:space="preserve">FAB-26W-1145</t>
  </si>
  <si>
    <t xml:space="preserve">Silk crêpe de chine</t>
  </si>
  <si>
    <t xml:space="preserve">115 g/m²</t>
  </si>
  <si>
    <t xml:space="preserve">140 cm</t>
  </si>
  <si>
    <t xml:space="preserve">YRN-26W-1149</t>
  </si>
  <si>
    <t xml:space="preserve">28 Nm</t>
  </si>
  <si>
    <t xml:space="preserve">FAB-26W-1153</t>
  </si>
  <si>
    <t xml:space="preserve">352 g/m²</t>
  </si>
  <si>
    <t xml:space="preserve">FAB-26W-1159</t>
  </si>
  <si>
    <t xml:space="preserve">Cotton interlock</t>
  </si>
  <si>
    <t xml:space="preserve">148 g/m²</t>
  </si>
  <si>
    <t xml:space="preserve">180 cm</t>
  </si>
  <si>
    <t xml:space="preserve">LEA-26W-1161</t>
  </si>
  <si>
    <t xml:space="preserve">Replaced by alternative</t>
  </si>
  <si>
    <t xml:space="preserve">YRN-26W-1165</t>
  </si>
  <si>
    <t xml:space="preserve">100% WS</t>
  </si>
  <si>
    <t xml:space="preserve">FAB-26W-1166</t>
  </si>
  <si>
    <t xml:space="preserve">Cotton seersucker</t>
  </si>
  <si>
    <t xml:space="preserve">227 g/m²</t>
  </si>
  <si>
    <t xml:space="preserve">FAB-26W-1173</t>
  </si>
  <si>
    <t xml:space="preserve">260 g/m²</t>
  </si>
  <si>
    <t xml:space="preserve">FAB-26W-1176</t>
  </si>
  <si>
    <t xml:space="preserve">Coated cotton</t>
  </si>
  <si>
    <t xml:space="preserve">100% PES (recycled)</t>
  </si>
  <si>
    <t xml:space="preserve">343 g/m²</t>
  </si>
  <si>
    <t xml:space="preserve">FAB-26W-1183</t>
  </si>
  <si>
    <t xml:space="preserve">416 g/m²</t>
  </si>
  <si>
    <t xml:space="preserve">TBD</t>
  </si>
  <si>
    <t xml:space="preserve">FAB-26W-1184</t>
  </si>
  <si>
    <t xml:space="preserve">232 g/m²</t>
  </si>
  <si>
    <t xml:space="preserve">FAB-26W-1186</t>
  </si>
  <si>
    <t xml:space="preserve">215 g/m²</t>
  </si>
  <si>
    <t xml:space="preserve">LEA-26W-1187</t>
  </si>
  <si>
    <t xml:space="preserve">LEA-26W-1188</t>
  </si>
  <si>
    <t xml:space="preserve">FAB-26W-1190</t>
  </si>
  <si>
    <t xml:space="preserve">151 g/m²</t>
  </si>
  <si>
    <t xml:space="preserve">FAB-26W-1191</t>
  </si>
  <si>
    <t xml:space="preserve">302 g/m²</t>
  </si>
  <si>
    <t xml:space="preserve">FAB-26W-1192</t>
  </si>
  <si>
    <t xml:space="preserve">Boiled wool</t>
  </si>
  <si>
    <t xml:space="preserve">409 g/m²</t>
  </si>
  <si>
    <t xml:space="preserve">LEA-26W-1196</t>
  </si>
  <si>
    <t xml:space="preserve">1.2 mm</t>
  </si>
  <si>
    <t xml:space="preserve">FAB-26W-1199</t>
  </si>
  <si>
    <t xml:space="preserve">Bonded neoprene</t>
  </si>
  <si>
    <t xml:space="preserve">268 g/m²</t>
  </si>
  <si>
    <t xml:space="preserve">FAB-26W-1204</t>
  </si>
  <si>
    <t xml:space="preserve">Linen-cotton slub</t>
  </si>
  <si>
    <t xml:space="preserve">314 g/m²</t>
  </si>
  <si>
    <t xml:space="preserve">FAB-26W-1205</t>
  </si>
  <si>
    <t xml:space="preserve">FAB-26W-1206</t>
  </si>
  <si>
    <t xml:space="preserve">Wool flannel</t>
  </si>
  <si>
    <t xml:space="preserve">490 g/m²</t>
  </si>
  <si>
    <t xml:space="preserve">FAB-26W-1207</t>
  </si>
  <si>
    <t xml:space="preserve">Cotton drill</t>
  </si>
  <si>
    <t xml:space="preserve">160 g/m²</t>
  </si>
  <si>
    <t xml:space="preserve">FAB-26W-1209</t>
  </si>
  <si>
    <t xml:space="preserve">Wool gabardine</t>
  </si>
  <si>
    <t xml:space="preserve">609 g/m²</t>
  </si>
  <si>
    <t xml:space="preserve">LEA-26W-1211</t>
  </si>
  <si>
    <t xml:space="preserve">FAB-26W-1218</t>
  </si>
  <si>
    <t xml:space="preserve">Recycled poly ripstop</t>
  </si>
  <si>
    <t xml:space="preserve">311 g/m²</t>
  </si>
  <si>
    <t xml:space="preserve">FAB-26W-1220</t>
  </si>
  <si>
    <t xml:space="preserve">338 g/m²</t>
  </si>
  <si>
    <t xml:space="preserve">FAB-26W-1223</t>
  </si>
  <si>
    <t xml:space="preserve">62% CO 38% PU</t>
  </si>
  <si>
    <t xml:space="preserve">118 g/m²</t>
  </si>
  <si>
    <t xml:space="preserve">FAB-26W-1224</t>
  </si>
  <si>
    <t xml:space="preserve">517 g/m²</t>
  </si>
  <si>
    <t xml:space="preserve">LEA-26W-1228</t>
  </si>
  <si>
    <t xml:space="preserve">FAB-26W-1233</t>
  </si>
  <si>
    <t xml:space="preserve">299 g/m²</t>
  </si>
  <si>
    <t xml:space="preserve">FAB-26W-1240</t>
  </si>
  <si>
    <t xml:space="preserve">257 g/m²</t>
  </si>
  <si>
    <t xml:space="preserve">LEA-26W-1245</t>
  </si>
  <si>
    <t xml:space="preserve">LEA-27P-1252</t>
  </si>
  <si>
    <t xml:space="preserve">Pre-SS27</t>
  </si>
  <si>
    <t xml:space="preserve">YRN-27P-1259</t>
  </si>
  <si>
    <t xml:space="preserve">14 Nm</t>
  </si>
  <si>
    <t xml:space="preserve">FAB-27P-1262</t>
  </si>
  <si>
    <t xml:space="preserve">FAB-27P-1264</t>
  </si>
  <si>
    <t xml:space="preserve">173 g/m²</t>
  </si>
  <si>
    <t xml:space="preserve">FAB-27P-1268</t>
  </si>
  <si>
    <t xml:space="preserve">72 g/m²</t>
  </si>
  <si>
    <t xml:space="preserve">LEA-27P-1269</t>
  </si>
  <si>
    <t xml:space="preserve">FAB-27P-1274</t>
  </si>
  <si>
    <t xml:space="preserve">346 g/m²</t>
  </si>
  <si>
    <t xml:space="preserve">FAB-27P-1275</t>
  </si>
  <si>
    <t xml:space="preserve">125 g/m²</t>
  </si>
  <si>
    <t xml:space="preserve">LEA-27P-1282</t>
  </si>
  <si>
    <t xml:space="preserve">0.9 mm</t>
  </si>
  <si>
    <t xml:space="preserve">LEA-27P-1289</t>
  </si>
  <si>
    <t xml:space="preserve">FAB-27P-1290</t>
  </si>
  <si>
    <t xml:space="preserve">FAB-27P-1291</t>
  </si>
  <si>
    <t xml:space="preserve">158 g/m²</t>
  </si>
  <si>
    <t xml:space="preserve">FAB-27P-1293</t>
  </si>
  <si>
    <t xml:space="preserve">Washed denim 13 oz</t>
  </si>
  <si>
    <t xml:space="preserve">240 g/m²</t>
  </si>
  <si>
    <t xml:space="preserve">FAB-27P-1297</t>
  </si>
  <si>
    <t xml:space="preserve">328 g/m²</t>
  </si>
  <si>
    <t xml:space="preserve">FAB-27P-1304</t>
  </si>
  <si>
    <t xml:space="preserve">319 g/m²</t>
  </si>
  <si>
    <t xml:space="preserve">bluesign</t>
  </si>
  <si>
    <t xml:space="preserve">YRN-27P-1308</t>
  </si>
  <si>
    <t xml:space="preserve">Merino 2/48</t>
  </si>
  <si>
    <t xml:space="preserve">72% WM 22% PA 6% WO</t>
  </si>
  <si>
    <t xml:space="preserve">YRN-27P-1315</t>
  </si>
  <si>
    <t xml:space="preserve">FAB-27P-1318</t>
  </si>
  <si>
    <t xml:space="preserve">LEA-27P-1325</t>
  </si>
  <si>
    <t xml:space="preserve">Check shrinkage</t>
  </si>
  <si>
    <t xml:space="preserve">FAB-27P-1330</t>
  </si>
  <si>
    <t xml:space="preserve">183 g/m²</t>
  </si>
  <si>
    <t xml:space="preserve">FAB-27P-1334</t>
  </si>
  <si>
    <t xml:space="preserve">Silk jersey</t>
  </si>
  <si>
    <t xml:space="preserve">FAB-27P-1335</t>
  </si>
  <si>
    <t xml:space="preserve">322 g/m²</t>
  </si>
  <si>
    <t xml:space="preserve">FAB-27P-1337</t>
  </si>
  <si>
    <t xml:space="preserve">FAB-27P-1344</t>
  </si>
  <si>
    <t xml:space="preserve">437 g/m²</t>
  </si>
  <si>
    <t xml:space="preserve">FAB-27P-1350</t>
  </si>
  <si>
    <t xml:space="preserve">251 g/m²</t>
  </si>
  <si>
    <t xml:space="preserve">FAB-27P-1354</t>
  </si>
  <si>
    <t xml:space="preserve">YRN-27P-1359</t>
  </si>
  <si>
    <t xml:space="preserve">LEA-27P-1364</t>
  </si>
  <si>
    <t xml:space="preserve">LEA-27P-1369</t>
  </si>
  <si>
    <t xml:space="preserve">FAB-27P-1374</t>
  </si>
  <si>
    <t xml:space="preserve">487 g/m²</t>
  </si>
  <si>
    <t xml:space="preserve">FAB-27P-1381</t>
  </si>
  <si>
    <t xml:space="preserve">Brushed mohair blend</t>
  </si>
  <si>
    <t xml:space="preserve">336 g/m²</t>
  </si>
  <si>
    <t xml:space="preserve">LEA-27P-1383</t>
  </si>
  <si>
    <t xml:space="preserve">FAB-27P-1390</t>
  </si>
  <si>
    <t xml:space="preserve">LEA-27P-1394</t>
  </si>
  <si>
    <t xml:space="preserve">YRN-27P-1396</t>
  </si>
  <si>
    <t xml:space="preserve">Cotton tape yarn</t>
  </si>
  <si>
    <t xml:space="preserve">LEA-27P-1399</t>
  </si>
  <si>
    <t xml:space="preserve">FAB-27P-1403</t>
  </si>
  <si>
    <t xml:space="preserve">187 g/m²</t>
  </si>
  <si>
    <t xml:space="preserve">LEA-27P-1409</t>
  </si>
  <si>
    <t xml:space="preserve">YRN-27P-1414</t>
  </si>
  <si>
    <t xml:space="preserve">48 Nm</t>
  </si>
  <si>
    <t xml:space="preserve">LEA-27P-1416</t>
  </si>
  <si>
    <t xml:space="preserve">YRN-27P-1422</t>
  </si>
  <si>
    <t xml:space="preserve">FAB-27P-1427</t>
  </si>
  <si>
    <t xml:space="preserve">73 g/m²</t>
  </si>
  <si>
    <t xml:space="preserve">FAB-27P-1433</t>
  </si>
  <si>
    <t xml:space="preserve">LEA-27P-1438</t>
  </si>
  <si>
    <t xml:space="preserve">FAB-27P-1443</t>
  </si>
  <si>
    <t xml:space="preserve">358 g/m²</t>
  </si>
  <si>
    <t xml:space="preserve">FAB-27P-1444</t>
  </si>
  <si>
    <t xml:space="preserve">FAB-27P-1448</t>
  </si>
  <si>
    <t xml:space="preserve">339 g/m²</t>
  </si>
  <si>
    <t xml:space="preserve">LEA-27P-1451</t>
  </si>
  <si>
    <t xml:space="preserve">FAB-27P-1458</t>
  </si>
  <si>
    <t xml:space="preserve">256 g/m²</t>
  </si>
  <si>
    <t xml:space="preserve">YRN-27P-1460</t>
  </si>
  <si>
    <t xml:space="preserve">LEA-27P-1463</t>
  </si>
  <si>
    <t xml:space="preserve">FAB-27P-1464</t>
  </si>
  <si>
    <t xml:space="preserve">LEA-27P-1470</t>
  </si>
  <si>
    <t xml:space="preserve">FAB-27P-1471</t>
  </si>
  <si>
    <t xml:space="preserve">FAB-27P-1472</t>
  </si>
  <si>
    <t xml:space="preserve">Silk organza</t>
  </si>
  <si>
    <t xml:space="preserve">64 g/m²</t>
  </si>
  <si>
    <t xml:space="preserve">LEA-27S-1475</t>
  </si>
  <si>
    <t xml:space="preserve">SS27</t>
  </si>
  <si>
    <t xml:space="preserve">FAB-27S-1479</t>
  </si>
  <si>
    <t xml:space="preserve">Silk-viscose devoré</t>
  </si>
  <si>
    <t xml:space="preserve">90 g/m²</t>
  </si>
  <si>
    <t xml:space="preserve">LEA-27S-1483</t>
  </si>
  <si>
    <t xml:space="preserve">FAB-27S-1488</t>
  </si>
  <si>
    <t xml:space="preserve">100 g/m²</t>
  </si>
  <si>
    <t xml:space="preserve">LEA-27S-1495</t>
  </si>
  <si>
    <t xml:space="preserve">FAB-27S-1502</t>
  </si>
  <si>
    <t xml:space="preserve">174 g/m²</t>
  </si>
  <si>
    <t xml:space="preserve">LEA-27S-1507</t>
  </si>
  <si>
    <t xml:space="preserve">FAB-27S-1511</t>
  </si>
  <si>
    <t xml:space="preserve">116 g/m²</t>
  </si>
  <si>
    <t xml:space="preserve">LEA-27S-1514</t>
  </si>
  <si>
    <t xml:space="preserve">FAB-27S-1516</t>
  </si>
  <si>
    <t xml:space="preserve">291 g/m²</t>
  </si>
  <si>
    <t xml:space="preserve">FAB-27S-1519</t>
  </si>
  <si>
    <t xml:space="preserve">FAB-27S-1525</t>
  </si>
  <si>
    <t xml:space="preserve">FAB-27S-1527</t>
  </si>
  <si>
    <t xml:space="preserve">306 g/m²</t>
  </si>
  <si>
    <t xml:space="preserve">LEA-27S-1532</t>
  </si>
  <si>
    <t xml:space="preserve">FAB-27S-1538</t>
  </si>
  <si>
    <t xml:space="preserve">161 g/m²</t>
  </si>
  <si>
    <t xml:space="preserve">FAB-27S-1540</t>
  </si>
  <si>
    <t xml:space="preserve">228 g/m²</t>
  </si>
  <si>
    <t xml:space="preserve">FAB-27S-1543</t>
  </si>
  <si>
    <t xml:space="preserve">42 g/m²</t>
  </si>
  <si>
    <t xml:space="preserve">FAB-27S-1545</t>
  </si>
  <si>
    <t xml:space="preserve">91 g/m²</t>
  </si>
  <si>
    <t xml:space="preserve">FAB-27S-1549</t>
  </si>
  <si>
    <t xml:space="preserve">315 g/m²</t>
  </si>
  <si>
    <t xml:space="preserve">LEA-27S-1550</t>
  </si>
  <si>
    <t xml:space="preserve">FAB-27S-1555</t>
  </si>
  <si>
    <t xml:space="preserve">385 g/m²</t>
  </si>
  <si>
    <t xml:space="preserve">FAB-27S-1556</t>
  </si>
  <si>
    <t xml:space="preserve">313 g/m²</t>
  </si>
  <si>
    <t xml:space="preserve">FAB-27S-1559</t>
  </si>
  <si>
    <t xml:space="preserve">342 g/m²</t>
  </si>
  <si>
    <t xml:space="preserve">FAB-27S-1564</t>
  </si>
  <si>
    <t xml:space="preserve">211 g/m²</t>
  </si>
  <si>
    <t xml:space="preserve">FAB-27S-1567</t>
  </si>
  <si>
    <t xml:space="preserve">179 g/m²</t>
  </si>
  <si>
    <t xml:space="preserve">FAB-27S-1568</t>
  </si>
  <si>
    <t xml:space="preserve">FAB-27S-1575</t>
  </si>
  <si>
    <t xml:space="preserve">136 g/m²</t>
  </si>
  <si>
    <t xml:space="preserve">FAB-27S-1582</t>
  </si>
  <si>
    <t xml:space="preserve">Nylon taffeta</t>
  </si>
  <si>
    <t xml:space="preserve">185 g/m²</t>
  </si>
  <si>
    <t xml:space="preserve">FAB-27S-1586</t>
  </si>
  <si>
    <t xml:space="preserve">430 g/m²</t>
  </si>
  <si>
    <t xml:space="preserve">FAB-27S-1588</t>
  </si>
  <si>
    <t xml:space="preserve">249 g/m²</t>
  </si>
  <si>
    <t xml:space="preserve">FAB-27S-1595</t>
  </si>
  <si>
    <t xml:space="preserve">LEA-27S-1601</t>
  </si>
  <si>
    <t xml:space="preserve">YRN-27S-1607</t>
  </si>
  <si>
    <t xml:space="preserve">YRN-27S-1612</t>
  </si>
  <si>
    <t xml:space="preserve">FAB-27S-1613</t>
  </si>
  <si>
    <t xml:space="preserve">370 g/m²</t>
  </si>
  <si>
    <t xml:space="preserve">FAB-27S-1620</t>
  </si>
  <si>
    <t xml:space="preserve">502 g/m²</t>
  </si>
  <si>
    <t xml:space="preserve">FAB-27S-1627</t>
  </si>
  <si>
    <t xml:space="preserve">FAB-27S-1630</t>
  </si>
  <si>
    <t xml:space="preserve">50 g/m²</t>
  </si>
  <si>
    <t xml:space="preserve">YRN-27S-1637</t>
  </si>
  <si>
    <t xml:space="preserve">Cashmere 2/28</t>
  </si>
  <si>
    <t xml:space="preserve">FAB-27S-1638</t>
  </si>
  <si>
    <t xml:space="preserve">197 g/m²</t>
  </si>
  <si>
    <t xml:space="preserve">FAB-27S-1639</t>
  </si>
  <si>
    <t xml:space="preserve">137 g/m²</t>
  </si>
  <si>
    <t xml:space="preserve">LEA-27S-1646</t>
  </si>
  <si>
    <t xml:space="preserve">YRN-27S-1647</t>
  </si>
  <si>
    <t xml:space="preserve">LEA-27S-1648</t>
  </si>
  <si>
    <t xml:space="preserve">FAB-27S-1653</t>
  </si>
  <si>
    <t xml:space="preserve">FAB-27S-1659</t>
  </si>
  <si>
    <t xml:space="preserve">142 g/m²</t>
  </si>
  <si>
    <t xml:space="preserve">LEA-27S-1660</t>
  </si>
  <si>
    <t xml:space="preserve">FAB-27S-1667</t>
  </si>
  <si>
    <t xml:space="preserve">FAB-27S-1669</t>
  </si>
  <si>
    <t xml:space="preserve">82 g/m²</t>
  </si>
  <si>
    <t xml:space="preserve">LEA-27S-1676</t>
  </si>
  <si>
    <t xml:space="preserve">FAB-27S-1678</t>
  </si>
  <si>
    <t xml:space="preserve">334 g/m²</t>
  </si>
  <si>
    <t xml:space="preserve">FAB-27S-1682</t>
  </si>
  <si>
    <t xml:space="preserve">141 g/m²</t>
  </si>
  <si>
    <t xml:space="preserve">LEA-27S-1684</t>
  </si>
  <si>
    <t xml:space="preserve">LEA-27S-1687</t>
  </si>
  <si>
    <t xml:space="preserve">LEA-27S-1694</t>
  </si>
  <si>
    <t xml:space="preserve">FAB-27S-1701</t>
  </si>
  <si>
    <t xml:space="preserve">133 g/m²</t>
  </si>
  <si>
    <t xml:space="preserve">FAB-27S-1703</t>
  </si>
  <si>
    <t xml:space="preserve">FAB-27S-1706</t>
  </si>
  <si>
    <t xml:space="preserve">403 g/m²</t>
  </si>
  <si>
    <t xml:space="preserve">LEA-27S-1707</t>
  </si>
  <si>
    <t xml:space="preserve">LEA-27S-1710</t>
  </si>
  <si>
    <t xml:space="preserve">LEA-27S-1711</t>
  </si>
  <si>
    <t xml:space="preserve">LEA-27S-1712</t>
  </si>
  <si>
    <t xml:space="preserve">FAB-27S-1713</t>
  </si>
  <si>
    <t xml:space="preserve">247 g/m²</t>
  </si>
  <si>
    <t xml:space="preserve">FAB-27S-1716</t>
  </si>
  <si>
    <t xml:space="preserve">LEA-27S-1720</t>
  </si>
  <si>
    <t xml:space="preserve">FAB-27S-1721</t>
  </si>
  <si>
    <t xml:space="preserve">FAB-27S-1723</t>
  </si>
  <si>
    <t xml:space="preserve">YRN-27S-1725</t>
  </si>
  <si>
    <t xml:space="preserve">LEA-27S-1726</t>
  </si>
  <si>
    <t xml:space="preserve">FAB-27S-1728</t>
  </si>
  <si>
    <t xml:space="preserve">FAB-27S-1731</t>
  </si>
  <si>
    <t xml:space="preserve">123 g/m²</t>
  </si>
  <si>
    <t xml:space="preserve">138 cm</t>
  </si>
  <si>
    <t xml:space="preserve">FAB-27S-1735</t>
  </si>
  <si>
    <t xml:space="preserve">FAB-27S-1741</t>
  </si>
  <si>
    <t xml:space="preserve">287 g/m²</t>
  </si>
  <si>
    <t xml:space="preserve">FAB-27S-1743</t>
  </si>
  <si>
    <t xml:space="preserve">144 g/m²</t>
  </si>
  <si>
    <t xml:space="preserve">FAB-27S-1745</t>
  </si>
  <si>
    <t xml:space="preserve">FAB-27S-1747</t>
  </si>
  <si>
    <t xml:space="preserve">331 g/m²</t>
  </si>
  <si>
    <t xml:space="preserve">YRN-27S-1751</t>
  </si>
  <si>
    <t xml:space="preserve">LEA-27S-1756</t>
  </si>
  <si>
    <t xml:space="preserve">FAB-27S-1758</t>
  </si>
  <si>
    <t xml:space="preserve">YRN-27S-1765</t>
  </si>
  <si>
    <t xml:space="preserve">FAB-27S-1766</t>
  </si>
  <si>
    <t xml:space="preserve">316 g/m²</t>
  </si>
  <si>
    <t xml:space="preserve">FAB-27S-1767</t>
  </si>
  <si>
    <t xml:space="preserve">109 g/m²</t>
  </si>
  <si>
    <t xml:space="preserve">LEA-27S-1774</t>
  </si>
  <si>
    <t xml:space="preserve">FAB-27S-1778</t>
  </si>
  <si>
    <t xml:space="preserve">453 g/m²</t>
  </si>
  <si>
    <t xml:space="preserve">LEA-27S-1782</t>
  </si>
  <si>
    <t xml:space="preserve">FAB-27S-1785</t>
  </si>
  <si>
    <t xml:space="preserve">607 g/m²</t>
  </si>
  <si>
    <t xml:space="preserve">FAB-27S-1792</t>
  </si>
  <si>
    <t xml:space="preserve">286 g/m²</t>
  </si>
  <si>
    <t xml:space="preserve">YRN-27S-1794</t>
  </si>
  <si>
    <t xml:space="preserve">FAB-27S-1795</t>
  </si>
  <si>
    <t xml:space="preserve">226 g/m²</t>
  </si>
  <si>
    <t xml:space="preserve">FAB-27S-1798</t>
  </si>
  <si>
    <t xml:space="preserve">FAB-27S-1802</t>
  </si>
  <si>
    <t xml:space="preserve">399 g/m²</t>
  </si>
  <si>
    <t xml:space="preserve">LEA-27S-1805</t>
  </si>
  <si>
    <t xml:space="preserve">FAB-27S-1806</t>
  </si>
  <si>
    <t xml:space="preserve">265 g/m²</t>
  </si>
  <si>
    <t xml:space="preserve">FAB-27S-1811</t>
  </si>
  <si>
    <t xml:space="preserve">YRN-27S-1818</t>
  </si>
  <si>
    <t xml:space="preserve">Colour code</t>
  </si>
  <si>
    <t xml:space="preserve">Colour name</t>
  </si>
  <si>
    <t xml:space="preserve">Colour status</t>
  </si>
  <si>
    <t xml:space="preserve">Qty ordered</t>
  </si>
  <si>
    <t xml:space="preserve">Unit</t>
  </si>
  <si>
    <t xml:space="preserve">Order date</t>
  </si>
  <si>
    <t xml:space="preserve">1001-CHC</t>
  </si>
  <si>
    <t xml:space="preserve">Chocolate</t>
  </si>
  <si>
    <t xml:space="preserve">Cancelled</t>
  </si>
  <si>
    <t xml:space="preserve">m</t>
  </si>
  <si>
    <t xml:space="preserve">1005-CHC</t>
  </si>
  <si>
    <t xml:space="preserve">Ordered</t>
  </si>
  <si>
    <t xml:space="preserve">1010-ECR</t>
  </si>
  <si>
    <t xml:space="preserve">Ecru</t>
  </si>
  <si>
    <t xml:space="preserve">1012-WHT</t>
  </si>
  <si>
    <t xml:space="preserve">Optic white</t>
  </si>
  <si>
    <t xml:space="preserve">1012-ECR</t>
  </si>
  <si>
    <t xml:space="preserve">Lab dip</t>
  </si>
  <si>
    <t xml:space="preserve">1019-GRY</t>
  </si>
  <si>
    <t xml:space="preserve">Grey melange</t>
  </si>
  <si>
    <t xml:space="preserve">1019-CHK</t>
  </si>
  <si>
    <t xml:space="preserve">Chalk</t>
  </si>
  <si>
    <t xml:space="preserve">1024-BRD</t>
  </si>
  <si>
    <t xml:space="preserve">Burgundy</t>
  </si>
  <si>
    <t xml:space="preserve">1024-GRY</t>
  </si>
  <si>
    <t xml:space="preserve">1024-SKY</t>
  </si>
  <si>
    <t xml:space="preserve">Sky blue</t>
  </si>
  <si>
    <t xml:space="preserve">1029-GRN</t>
  </si>
  <si>
    <t xml:space="preserve">Bottle green</t>
  </si>
  <si>
    <t xml:space="preserve">sqft</t>
  </si>
  <si>
    <t xml:space="preserve">1031-WHT</t>
  </si>
  <si>
    <t xml:space="preserve">1031-YLW</t>
  </si>
  <si>
    <t xml:space="preserve">Butter yellow</t>
  </si>
  <si>
    <t xml:space="preserve">1037-GRY</t>
  </si>
  <si>
    <t xml:space="preserve">1037-CML</t>
  </si>
  <si>
    <t xml:space="preserve">Camel</t>
  </si>
  <si>
    <t xml:space="preserve">1037-BLK</t>
  </si>
  <si>
    <t xml:space="preserve">Black</t>
  </si>
  <si>
    <t xml:space="preserve">1037-BRD</t>
  </si>
  <si>
    <t xml:space="preserve">1038-OLV</t>
  </si>
  <si>
    <t xml:space="preserve">Olive</t>
  </si>
  <si>
    <t xml:space="preserve">1038-GRY</t>
  </si>
  <si>
    <t xml:space="preserve">1040-CHK</t>
  </si>
  <si>
    <t xml:space="preserve">1040-BRD</t>
  </si>
  <si>
    <t xml:space="preserve">1040-NVY</t>
  </si>
  <si>
    <t xml:space="preserve">Navy</t>
  </si>
  <si>
    <t xml:space="preserve">1040-WHT</t>
  </si>
  <si>
    <t xml:space="preserve">1044-OLV</t>
  </si>
  <si>
    <t xml:space="preserve">1044-TAN</t>
  </si>
  <si>
    <t xml:space="preserve">Tan</t>
  </si>
  <si>
    <t xml:space="preserve">1044-SKY</t>
  </si>
  <si>
    <t xml:space="preserve">1044-GRN</t>
  </si>
  <si>
    <t xml:space="preserve">1045-YLW</t>
  </si>
  <si>
    <t xml:space="preserve">1045-CHC</t>
  </si>
  <si>
    <t xml:space="preserve">1046-GRY</t>
  </si>
  <si>
    <t xml:space="preserve">1051-OLV</t>
  </si>
  <si>
    <t xml:space="preserve">1053-WHT</t>
  </si>
  <si>
    <t xml:space="preserve">1053-NVY</t>
  </si>
  <si>
    <t xml:space="preserve">1053-CML</t>
  </si>
  <si>
    <t xml:space="preserve">1053-YLW</t>
  </si>
  <si>
    <t xml:space="preserve">1053-TRC</t>
  </si>
  <si>
    <t xml:space="preserve">Terracotta</t>
  </si>
  <si>
    <t xml:space="preserve">1057-CML</t>
  </si>
  <si>
    <t xml:space="preserve">1057-GRY</t>
  </si>
  <si>
    <t xml:space="preserve">1057-GRN</t>
  </si>
  <si>
    <t xml:space="preserve">1057-TAN</t>
  </si>
  <si>
    <t xml:space="preserve">1061-GRY</t>
  </si>
  <si>
    <t xml:space="preserve">1061-SKY</t>
  </si>
  <si>
    <t xml:space="preserve">1063-NVY</t>
  </si>
  <si>
    <t xml:space="preserve">1063-TRC</t>
  </si>
  <si>
    <t xml:space="preserve">1064-GRY</t>
  </si>
  <si>
    <t xml:space="preserve">1064-PNK</t>
  </si>
  <si>
    <t xml:space="preserve">Dusty pink</t>
  </si>
  <si>
    <t xml:space="preserve">1064-SKY</t>
  </si>
  <si>
    <t xml:space="preserve">1064-YLW</t>
  </si>
  <si>
    <t xml:space="preserve">1064-WHT</t>
  </si>
  <si>
    <t xml:space="preserve">1064-NVY</t>
  </si>
  <si>
    <t xml:space="preserve">1067-BLK</t>
  </si>
  <si>
    <t xml:space="preserve">1067-BRD</t>
  </si>
  <si>
    <t xml:space="preserve">1067-ECR</t>
  </si>
  <si>
    <t xml:space="preserve">1069-GRY</t>
  </si>
  <si>
    <t xml:space="preserve">1069-GRN</t>
  </si>
  <si>
    <t xml:space="preserve">1069-CHC</t>
  </si>
  <si>
    <t xml:space="preserve">1075-NVY</t>
  </si>
  <si>
    <t xml:space="preserve">1081-YLW</t>
  </si>
  <si>
    <t xml:space="preserve">1081-GRY</t>
  </si>
  <si>
    <t xml:space="preserve">1082-YLW</t>
  </si>
  <si>
    <t xml:space="preserve">1082-NVY</t>
  </si>
  <si>
    <t xml:space="preserve">1082-CML</t>
  </si>
  <si>
    <t xml:space="preserve">1082-WHT</t>
  </si>
  <si>
    <t xml:space="preserve">1089-SKY</t>
  </si>
  <si>
    <t xml:space="preserve">1092-YLW</t>
  </si>
  <si>
    <t xml:space="preserve">1092-CHK</t>
  </si>
  <si>
    <t xml:space="preserve">1097-NVY</t>
  </si>
  <si>
    <t xml:space="preserve">kg</t>
  </si>
  <si>
    <t xml:space="preserve">1097-YLW</t>
  </si>
  <si>
    <t xml:space="preserve">1097-OLV</t>
  </si>
  <si>
    <t xml:space="preserve">1097-CHK</t>
  </si>
  <si>
    <t xml:space="preserve">1097-PNK</t>
  </si>
  <si>
    <t xml:space="preserve">1103-TAN</t>
  </si>
  <si>
    <t xml:space="preserve">1103-OLV</t>
  </si>
  <si>
    <t xml:space="preserve">1103-CML</t>
  </si>
  <si>
    <t xml:space="preserve">1110-CML</t>
  </si>
  <si>
    <t xml:space="preserve">1110-BRD</t>
  </si>
  <si>
    <t xml:space="preserve">1110-CHC</t>
  </si>
  <si>
    <t xml:space="preserve">1114-NVY</t>
  </si>
  <si>
    <t xml:space="preserve">1114-OLV</t>
  </si>
  <si>
    <t xml:space="preserve">1121-BRD</t>
  </si>
  <si>
    <t xml:space="preserve">1121-CML</t>
  </si>
  <si>
    <t xml:space="preserve">1121-OLV</t>
  </si>
  <si>
    <t xml:space="preserve">1121-GRN</t>
  </si>
  <si>
    <t xml:space="preserve">1128-BLK</t>
  </si>
  <si>
    <t xml:space="preserve">1128-CHK</t>
  </si>
  <si>
    <t xml:space="preserve">1128-GRN</t>
  </si>
  <si>
    <t xml:space="preserve">1133-TAN</t>
  </si>
  <si>
    <t xml:space="preserve">1133-CHK</t>
  </si>
  <si>
    <t xml:space="preserve">1133-PNK</t>
  </si>
  <si>
    <t xml:space="preserve">1137-CHC</t>
  </si>
  <si>
    <t xml:space="preserve">1137-OLV</t>
  </si>
  <si>
    <t xml:space="preserve">1137-YLW</t>
  </si>
  <si>
    <t xml:space="preserve">1137-CHK</t>
  </si>
  <si>
    <t xml:space="preserve">1137-BLK</t>
  </si>
  <si>
    <t xml:space="preserve">1137-ECR</t>
  </si>
  <si>
    <t xml:space="preserve">1139-TAN</t>
  </si>
  <si>
    <t xml:space="preserve">1139-TRC</t>
  </si>
  <si>
    <t xml:space="preserve">1139-BLK</t>
  </si>
  <si>
    <t xml:space="preserve">1139-NVY</t>
  </si>
  <si>
    <t xml:space="preserve">1139-GRN</t>
  </si>
  <si>
    <t xml:space="preserve">1139-WHT</t>
  </si>
  <si>
    <t xml:space="preserve">1143-BRD</t>
  </si>
  <si>
    <t xml:space="preserve">1143-OLV</t>
  </si>
  <si>
    <t xml:space="preserve">1143-GRY</t>
  </si>
  <si>
    <t xml:space="preserve">1143-NVY</t>
  </si>
  <si>
    <t xml:space="preserve">1145-YLW</t>
  </si>
  <si>
    <t xml:space="preserve">1145-GRN</t>
  </si>
  <si>
    <t xml:space="preserve">1149-GRN</t>
  </si>
  <si>
    <t xml:space="preserve">1149-TRC</t>
  </si>
  <si>
    <t xml:space="preserve">1149-ECR</t>
  </si>
  <si>
    <t xml:space="preserve">1153-YLW</t>
  </si>
  <si>
    <t xml:space="preserve">1153-BRD</t>
  </si>
  <si>
    <t xml:space="preserve">1153-GRY</t>
  </si>
  <si>
    <t xml:space="preserve">1153-GRN</t>
  </si>
  <si>
    <t xml:space="preserve">1153-ECR</t>
  </si>
  <si>
    <t xml:space="preserve">1159-CML</t>
  </si>
  <si>
    <t xml:space="preserve">1159-SKY</t>
  </si>
  <si>
    <t xml:space="preserve">1159-TRC</t>
  </si>
  <si>
    <t xml:space="preserve">1159-PNK</t>
  </si>
  <si>
    <t xml:space="preserve">1159-YLW</t>
  </si>
  <si>
    <t xml:space="preserve">1161-CHC</t>
  </si>
  <si>
    <t xml:space="preserve">1161-GRY</t>
  </si>
  <si>
    <t xml:space="preserve">1161-YLW</t>
  </si>
  <si>
    <t xml:space="preserve">1161-WHT</t>
  </si>
  <si>
    <t xml:space="preserve">1165-YLW</t>
  </si>
  <si>
    <t xml:space="preserve">1166-WHT</t>
  </si>
  <si>
    <t xml:space="preserve">1173-NVY</t>
  </si>
  <si>
    <t xml:space="preserve">1173-GRY</t>
  </si>
  <si>
    <t xml:space="preserve">1173-CML</t>
  </si>
  <si>
    <t xml:space="preserve">1173-BRD</t>
  </si>
  <si>
    <t xml:space="preserve">1173-WHT</t>
  </si>
  <si>
    <t xml:space="preserve">1173-PNK</t>
  </si>
  <si>
    <t xml:space="preserve">1176-GRY</t>
  </si>
  <si>
    <t xml:space="preserve">1183-GRN</t>
  </si>
  <si>
    <t xml:space="preserve">1183-CHK</t>
  </si>
  <si>
    <t xml:space="preserve">1183-BRD</t>
  </si>
  <si>
    <t xml:space="preserve">1184-GRN</t>
  </si>
  <si>
    <t xml:space="preserve">1184-CHK</t>
  </si>
  <si>
    <t xml:space="preserve">1186-OLV</t>
  </si>
  <si>
    <t xml:space="preserve">1186-TAN</t>
  </si>
  <si>
    <t xml:space="preserve">1187-CML</t>
  </si>
  <si>
    <t xml:space="preserve">1187-GRY</t>
  </si>
  <si>
    <t xml:space="preserve">1187-WHT</t>
  </si>
  <si>
    <t xml:space="preserve">1187-TRC</t>
  </si>
  <si>
    <t xml:space="preserve">1187-ECR</t>
  </si>
  <si>
    <t xml:space="preserve">1188-SKY</t>
  </si>
  <si>
    <t xml:space="preserve">1188-CHK</t>
  </si>
  <si>
    <t xml:space="preserve">1188-ECR</t>
  </si>
  <si>
    <t xml:space="preserve">1188-GRN</t>
  </si>
  <si>
    <t xml:space="preserve">1188-TRC</t>
  </si>
  <si>
    <t xml:space="preserve">1190-OLV</t>
  </si>
  <si>
    <t xml:space="preserve">1191-CML</t>
  </si>
  <si>
    <t xml:space="preserve">1192-GRN</t>
  </si>
  <si>
    <t xml:space="preserve">1192-CHC</t>
  </si>
  <si>
    <t xml:space="preserve">1192-BRD</t>
  </si>
  <si>
    <t xml:space="preserve">1192-NVY</t>
  </si>
  <si>
    <t xml:space="preserve">1192-SKY</t>
  </si>
  <si>
    <t xml:space="preserve">1196-ECR</t>
  </si>
  <si>
    <t xml:space="preserve">1196-YLW</t>
  </si>
  <si>
    <t xml:space="preserve">1196-GRY</t>
  </si>
  <si>
    <t xml:space="preserve">1196-SKY</t>
  </si>
  <si>
    <t xml:space="preserve">1196-BRD</t>
  </si>
  <si>
    <t xml:space="preserve">1196-NVY</t>
  </si>
  <si>
    <t xml:space="preserve">1196-CHK</t>
  </si>
  <si>
    <t xml:space="preserve">1196-OLV</t>
  </si>
  <si>
    <t xml:space="preserve">1199-YLW</t>
  </si>
  <si>
    <t xml:space="preserve">1199-BRD</t>
  </si>
  <si>
    <t xml:space="preserve">1204-SKY</t>
  </si>
  <si>
    <t xml:space="preserve">1204-TRC</t>
  </si>
  <si>
    <t xml:space="preserve">1205-PNK</t>
  </si>
  <si>
    <t xml:space="preserve">1206-CHK</t>
  </si>
  <si>
    <t xml:space="preserve">1207-GRY</t>
  </si>
  <si>
    <t xml:space="preserve">1207-NVY</t>
  </si>
  <si>
    <t xml:space="preserve">1207-CML</t>
  </si>
  <si>
    <t xml:space="preserve">1207-PNK</t>
  </si>
  <si>
    <t xml:space="preserve">1207-CHK</t>
  </si>
  <si>
    <t xml:space="preserve">1209-PNK</t>
  </si>
  <si>
    <t xml:space="preserve">1209-SKY</t>
  </si>
  <si>
    <t xml:space="preserve">1209-TRC</t>
  </si>
  <si>
    <t xml:space="preserve">1209-CHC</t>
  </si>
  <si>
    <t xml:space="preserve">1209-WHT</t>
  </si>
  <si>
    <t xml:space="preserve">1209-NVY</t>
  </si>
  <si>
    <t xml:space="preserve">1209-YLW</t>
  </si>
  <si>
    <t xml:space="preserve">1209-ECR</t>
  </si>
  <si>
    <t xml:space="preserve">1211-OLV</t>
  </si>
  <si>
    <t xml:space="preserve">1211-ECR</t>
  </si>
  <si>
    <t xml:space="preserve">1211-GRY</t>
  </si>
  <si>
    <t xml:space="preserve">1211-BRD</t>
  </si>
  <si>
    <t xml:space="preserve">1218-YLW</t>
  </si>
  <si>
    <t xml:space="preserve">1220-GRY</t>
  </si>
  <si>
    <t xml:space="preserve">1220-ECR</t>
  </si>
  <si>
    <t xml:space="preserve">1220-PNK</t>
  </si>
  <si>
    <t xml:space="preserve">1220-CHC</t>
  </si>
  <si>
    <t xml:space="preserve">1220-BLK</t>
  </si>
  <si>
    <t xml:space="preserve">1220-NVY</t>
  </si>
  <si>
    <t xml:space="preserve">1220-TAN</t>
  </si>
  <si>
    <t xml:space="preserve">1220-SKY</t>
  </si>
  <si>
    <t xml:space="preserve">1223-TRC</t>
  </si>
  <si>
    <t xml:space="preserve">1223-PNK</t>
  </si>
  <si>
    <t xml:space="preserve">1223-BRD</t>
  </si>
  <si>
    <t xml:space="preserve">1224-CHC</t>
  </si>
  <si>
    <t xml:space="preserve">1224-ECR</t>
  </si>
  <si>
    <t xml:space="preserve">1228-BRD</t>
  </si>
  <si>
    <t xml:space="preserve">1228-CML</t>
  </si>
  <si>
    <t xml:space="preserve">1228-WHT</t>
  </si>
  <si>
    <t xml:space="preserve">1228-PNK</t>
  </si>
  <si>
    <t xml:space="preserve">1228-GRY</t>
  </si>
  <si>
    <t xml:space="preserve">1233-CHC</t>
  </si>
  <si>
    <t xml:space="preserve">1233-CHK</t>
  </si>
  <si>
    <t xml:space="preserve">1233-BLK</t>
  </si>
  <si>
    <t xml:space="preserve">1240-OLV</t>
  </si>
  <si>
    <t xml:space="preserve">1240-YLW</t>
  </si>
  <si>
    <t xml:space="preserve">1240-WHT</t>
  </si>
  <si>
    <t xml:space="preserve">1240-BRD</t>
  </si>
  <si>
    <t xml:space="preserve">1240-TAN</t>
  </si>
  <si>
    <t xml:space="preserve">1240-ECR</t>
  </si>
  <si>
    <t xml:space="preserve">1245-GRY</t>
  </si>
  <si>
    <t xml:space="preserve">1245-CHC</t>
  </si>
  <si>
    <t xml:space="preserve">1245-SKY</t>
  </si>
  <si>
    <t xml:space="preserve">1245-ECR</t>
  </si>
  <si>
    <t xml:space="preserve">1252-OLV</t>
  </si>
  <si>
    <t xml:space="preserve">1252-GRN</t>
  </si>
  <si>
    <t xml:space="preserve">1252-TRC</t>
  </si>
  <si>
    <t xml:space="preserve">1252-BRD</t>
  </si>
  <si>
    <t xml:space="preserve">1252-SKY</t>
  </si>
  <si>
    <t xml:space="preserve">1252-YLW</t>
  </si>
  <si>
    <t xml:space="preserve">1252-BLK</t>
  </si>
  <si>
    <t xml:space="preserve">1252-PNK</t>
  </si>
  <si>
    <t xml:space="preserve">1259-NVY</t>
  </si>
  <si>
    <t xml:space="preserve">1262-TAN</t>
  </si>
  <si>
    <t xml:space="preserve">1264-CHC</t>
  </si>
  <si>
    <t xml:space="preserve">1268-PNK</t>
  </si>
  <si>
    <t xml:space="preserve">1269-CHC</t>
  </si>
  <si>
    <t xml:space="preserve">1269-OLV</t>
  </si>
  <si>
    <t xml:space="preserve">1269-GRN</t>
  </si>
  <si>
    <t xml:space="preserve">1269-TAN</t>
  </si>
  <si>
    <t xml:space="preserve">1274-GRN</t>
  </si>
  <si>
    <t xml:space="preserve">1274-WHT</t>
  </si>
  <si>
    <t xml:space="preserve">1274-PNK</t>
  </si>
  <si>
    <t xml:space="preserve">1274-BRD</t>
  </si>
  <si>
    <t xml:space="preserve">1274-ECR</t>
  </si>
  <si>
    <t xml:space="preserve">1274-CHC</t>
  </si>
  <si>
    <t xml:space="preserve">1275-SKY</t>
  </si>
  <si>
    <t xml:space="preserve">1275-TAN</t>
  </si>
  <si>
    <t xml:space="preserve">1275-GRY</t>
  </si>
  <si>
    <t xml:space="preserve">1282-PNK</t>
  </si>
  <si>
    <t xml:space="preserve">1282-ECR</t>
  </si>
  <si>
    <t xml:space="preserve">1282-GRN</t>
  </si>
  <si>
    <t xml:space="preserve">1289-CML</t>
  </si>
  <si>
    <t xml:space="preserve">1289-YLW</t>
  </si>
  <si>
    <t xml:space="preserve">1289-PNK</t>
  </si>
  <si>
    <t xml:space="preserve">1289-TAN</t>
  </si>
  <si>
    <t xml:space="preserve">1290-SKY</t>
  </si>
  <si>
    <t xml:space="preserve">1291-PNK</t>
  </si>
  <si>
    <t xml:space="preserve">1291-CML</t>
  </si>
  <si>
    <t xml:space="preserve">1291-BLK</t>
  </si>
  <si>
    <t xml:space="preserve">1293-TRC</t>
  </si>
  <si>
    <t xml:space="preserve">1293-TAN</t>
  </si>
  <si>
    <t xml:space="preserve">1297-CHC</t>
  </si>
  <si>
    <t xml:space="preserve">1297-YLW</t>
  </si>
  <si>
    <t xml:space="preserve">1297-BRD</t>
  </si>
  <si>
    <t xml:space="preserve">1297-WHT</t>
  </si>
  <si>
    <t xml:space="preserve">1304-BRD</t>
  </si>
  <si>
    <t xml:space="preserve">1304-WHT</t>
  </si>
  <si>
    <t xml:space="preserve">1304-BLK</t>
  </si>
  <si>
    <t xml:space="preserve">1304-GRY</t>
  </si>
  <si>
    <t xml:space="preserve">1304-CHC</t>
  </si>
  <si>
    <t xml:space="preserve">1308-NVY</t>
  </si>
  <si>
    <t xml:space="preserve">1308-TRC</t>
  </si>
  <si>
    <t xml:space="preserve">1315-BRD</t>
  </si>
  <si>
    <t xml:space="preserve">1315-CHC</t>
  </si>
  <si>
    <t xml:space="preserve">1315-NVY</t>
  </si>
  <si>
    <t xml:space="preserve">1318-ECR</t>
  </si>
  <si>
    <t xml:space="preserve">1318-NVY</t>
  </si>
  <si>
    <t xml:space="preserve">1325-TRC</t>
  </si>
  <si>
    <t xml:space="preserve">1325-CHC</t>
  </si>
  <si>
    <t xml:space="preserve">1325-CHK</t>
  </si>
  <si>
    <t xml:space="preserve">1325-GRN</t>
  </si>
  <si>
    <t xml:space="preserve">1325-TAN</t>
  </si>
  <si>
    <t xml:space="preserve">1325-CML</t>
  </si>
  <si>
    <t xml:space="preserve">1325-ECR</t>
  </si>
  <si>
    <t xml:space="preserve">1325-SKY</t>
  </si>
  <si>
    <t xml:space="preserve">1330-TRC</t>
  </si>
  <si>
    <t xml:space="preserve">1330-OLV</t>
  </si>
  <si>
    <t xml:space="preserve">1330-ECR</t>
  </si>
  <si>
    <t xml:space="preserve">1334-OLV</t>
  </si>
  <si>
    <t xml:space="preserve">1334-GRN</t>
  </si>
  <si>
    <t xml:space="preserve">1334-NVY</t>
  </si>
  <si>
    <t xml:space="preserve">1334-TAN</t>
  </si>
  <si>
    <t xml:space="preserve">1335-PNK</t>
  </si>
  <si>
    <t xml:space="preserve">1335-OLV</t>
  </si>
  <si>
    <t xml:space="preserve">1335-BLK</t>
  </si>
  <si>
    <t xml:space="preserve">1335-TRC</t>
  </si>
  <si>
    <t xml:space="preserve">1335-ECR</t>
  </si>
  <si>
    <t xml:space="preserve">1335-CML</t>
  </si>
  <si>
    <t xml:space="preserve">1337-ECR</t>
  </si>
  <si>
    <t xml:space="preserve">1344-SKY</t>
  </si>
  <si>
    <t xml:space="preserve">1344-YLW</t>
  </si>
  <si>
    <t xml:space="preserve">1350-WHT</t>
  </si>
  <si>
    <t xml:space="preserve">1350-BRD</t>
  </si>
  <si>
    <t xml:space="preserve">1350-GRY</t>
  </si>
  <si>
    <t xml:space="preserve">1350-PNK</t>
  </si>
  <si>
    <t xml:space="preserve">1350-TRC</t>
  </si>
  <si>
    <t xml:space="preserve">1350-CML</t>
  </si>
  <si>
    <t xml:space="preserve">1354-CHK</t>
  </si>
  <si>
    <t xml:space="preserve">1354-GRN</t>
  </si>
  <si>
    <t xml:space="preserve">1354-SKY</t>
  </si>
  <si>
    <t xml:space="preserve">1354-CML</t>
  </si>
  <si>
    <t xml:space="preserve">1354-YLW</t>
  </si>
  <si>
    <t xml:space="preserve">1359-NVY</t>
  </si>
  <si>
    <t xml:space="preserve">1359-CML</t>
  </si>
  <si>
    <t xml:space="preserve">1359-ECR</t>
  </si>
  <si>
    <t xml:space="preserve">1359-CHC</t>
  </si>
  <si>
    <t xml:space="preserve">1359-YLW</t>
  </si>
  <si>
    <t xml:space="preserve">1359-BRD</t>
  </si>
  <si>
    <t xml:space="preserve">1359-OLV</t>
  </si>
  <si>
    <t xml:space="preserve">1359-CHK</t>
  </si>
  <si>
    <t xml:space="preserve">1364-BRD</t>
  </si>
  <si>
    <t xml:space="preserve">1364-TAN</t>
  </si>
  <si>
    <t xml:space="preserve">1364-PNK</t>
  </si>
  <si>
    <t xml:space="preserve">1364-TRC</t>
  </si>
  <si>
    <t xml:space="preserve">1364-SKY</t>
  </si>
  <si>
    <t xml:space="preserve">1369-CHK</t>
  </si>
  <si>
    <t xml:space="preserve">1369-CML</t>
  </si>
  <si>
    <t xml:space="preserve">1369-WHT</t>
  </si>
  <si>
    <t xml:space="preserve">1369-GRY</t>
  </si>
  <si>
    <t xml:space="preserve">1369-TRC</t>
  </si>
  <si>
    <t xml:space="preserve">1369-SKY</t>
  </si>
  <si>
    <t xml:space="preserve">1374-GRN</t>
  </si>
  <si>
    <t xml:space="preserve">1374-NVY</t>
  </si>
  <si>
    <t xml:space="preserve">1374-ECR</t>
  </si>
  <si>
    <t xml:space="preserve">1381-WHT</t>
  </si>
  <si>
    <t xml:space="preserve">1383-OLV</t>
  </si>
  <si>
    <t xml:space="preserve">1383-BRD</t>
  </si>
  <si>
    <t xml:space="preserve">1390-YLW</t>
  </si>
  <si>
    <t xml:space="preserve">1390-ECR</t>
  </si>
  <si>
    <t xml:space="preserve">1394-YLW</t>
  </si>
  <si>
    <t xml:space="preserve">1394-CML</t>
  </si>
  <si>
    <t xml:space="preserve">1394-GRY</t>
  </si>
  <si>
    <t xml:space="preserve">1396-BLK</t>
  </si>
  <si>
    <t xml:space="preserve">1396-WHT</t>
  </si>
  <si>
    <t xml:space="preserve">1399-CHK</t>
  </si>
  <si>
    <t xml:space="preserve">1403-WHT</t>
  </si>
  <si>
    <t xml:space="preserve">1403-BLK</t>
  </si>
  <si>
    <t xml:space="preserve">1403-NVY</t>
  </si>
  <si>
    <t xml:space="preserve">1409-PNK</t>
  </si>
  <si>
    <t xml:space="preserve">1409-TRC</t>
  </si>
  <si>
    <t xml:space="preserve">1409-WHT</t>
  </si>
  <si>
    <t xml:space="preserve">1409-GRN</t>
  </si>
  <si>
    <t xml:space="preserve">1414-TAN</t>
  </si>
  <si>
    <t xml:space="preserve">1416-WHT</t>
  </si>
  <si>
    <t xml:space="preserve">1416-CML</t>
  </si>
  <si>
    <t xml:space="preserve">1422-TRC</t>
  </si>
  <si>
    <t xml:space="preserve">1422-TAN</t>
  </si>
  <si>
    <t xml:space="preserve">1422-ECR</t>
  </si>
  <si>
    <t xml:space="preserve">1427-TRC</t>
  </si>
  <si>
    <t xml:space="preserve">1433-ECR</t>
  </si>
  <si>
    <t xml:space="preserve">1433-BLK</t>
  </si>
  <si>
    <t xml:space="preserve">1438-GRN</t>
  </si>
  <si>
    <t xml:space="preserve">1438-TAN</t>
  </si>
  <si>
    <t xml:space="preserve">1443-ECR</t>
  </si>
  <si>
    <t xml:space="preserve">1443-GRN</t>
  </si>
  <si>
    <t xml:space="preserve">1443-SKY</t>
  </si>
  <si>
    <t xml:space="preserve">1444-OLV</t>
  </si>
  <si>
    <t xml:space="preserve">1448-WHT</t>
  </si>
  <si>
    <t xml:space="preserve">1448-BRD</t>
  </si>
  <si>
    <t xml:space="preserve">1448-CML</t>
  </si>
  <si>
    <t xml:space="preserve">1451-GRN</t>
  </si>
  <si>
    <t xml:space="preserve">1458-PNK</t>
  </si>
  <si>
    <t xml:space="preserve">1458-BLK</t>
  </si>
  <si>
    <t xml:space="preserve">1458-CHC</t>
  </si>
  <si>
    <t xml:space="preserve">1458-BRD</t>
  </si>
  <si>
    <t xml:space="preserve">1458-CML</t>
  </si>
  <si>
    <t xml:space="preserve">1458-TRC</t>
  </si>
  <si>
    <t xml:space="preserve">1460-TRC</t>
  </si>
  <si>
    <t xml:space="preserve">1460-BRD</t>
  </si>
  <si>
    <t xml:space="preserve">1460-NVY</t>
  </si>
  <si>
    <t xml:space="preserve">1460-YLW</t>
  </si>
  <si>
    <t xml:space="preserve">1463-ECR</t>
  </si>
  <si>
    <t xml:space="preserve">1463-CHK</t>
  </si>
  <si>
    <t xml:space="preserve">1463-CHC</t>
  </si>
  <si>
    <t xml:space="preserve">1463-PNK</t>
  </si>
  <si>
    <t xml:space="preserve">1463-WHT</t>
  </si>
  <si>
    <t xml:space="preserve">1464-NVY</t>
  </si>
  <si>
    <t xml:space="preserve">1464-ECR</t>
  </si>
  <si>
    <t xml:space="preserve">1464-WHT</t>
  </si>
  <si>
    <t xml:space="preserve">1464-CHK</t>
  </si>
  <si>
    <t xml:space="preserve">1464-OLV</t>
  </si>
  <si>
    <t xml:space="preserve">1470-TAN</t>
  </si>
  <si>
    <t xml:space="preserve">1470-CHK</t>
  </si>
  <si>
    <t xml:space="preserve">1470-YLW</t>
  </si>
  <si>
    <t xml:space="preserve">1470-PNK</t>
  </si>
  <si>
    <t xml:space="preserve">1471-YLW</t>
  </si>
  <si>
    <t xml:space="preserve">1471-BRD</t>
  </si>
  <si>
    <t xml:space="preserve">1471-WHT</t>
  </si>
  <si>
    <t xml:space="preserve">1472-GRY</t>
  </si>
  <si>
    <t xml:space="preserve">1472-CML</t>
  </si>
  <si>
    <t xml:space="preserve">1475-ECR</t>
  </si>
  <si>
    <t xml:space="preserve">1475-BRD</t>
  </si>
  <si>
    <t xml:space="preserve">1475-WHT</t>
  </si>
  <si>
    <t xml:space="preserve">1475-PNK</t>
  </si>
  <si>
    <t xml:space="preserve">1475-CML</t>
  </si>
  <si>
    <t xml:space="preserve">1479-CHC</t>
  </si>
  <si>
    <t xml:space="preserve">1479-TAN</t>
  </si>
  <si>
    <t xml:space="preserve">1479-WHT</t>
  </si>
  <si>
    <t xml:space="preserve">1479-ECR</t>
  </si>
  <si>
    <t xml:space="preserve">1479-CHK</t>
  </si>
  <si>
    <t xml:space="preserve">1483-TRC</t>
  </si>
  <si>
    <t xml:space="preserve">1483-ECR</t>
  </si>
  <si>
    <t xml:space="preserve">1483-TAN</t>
  </si>
  <si>
    <t xml:space="preserve">1488-TRC</t>
  </si>
  <si>
    <t xml:space="preserve">1488-ECR</t>
  </si>
  <si>
    <t xml:space="preserve">1488-NVY</t>
  </si>
  <si>
    <t xml:space="preserve">1488-SKY</t>
  </si>
  <si>
    <t xml:space="preserve">1488-OLV</t>
  </si>
  <si>
    <t xml:space="preserve">1488-CHK</t>
  </si>
  <si>
    <t xml:space="preserve">1488-PNK</t>
  </si>
  <si>
    <t xml:space="preserve">1488-GRN</t>
  </si>
  <si>
    <t xml:space="preserve">1495-ECR</t>
  </si>
  <si>
    <t xml:space="preserve">1495-NVY</t>
  </si>
  <si>
    <t xml:space="preserve">1495-BRD</t>
  </si>
  <si>
    <t xml:space="preserve">1495-BLK</t>
  </si>
  <si>
    <t xml:space="preserve">1495-GRY</t>
  </si>
  <si>
    <t xml:space="preserve">1495-PNK</t>
  </si>
  <si>
    <t xml:space="preserve">1502-OLV</t>
  </si>
  <si>
    <t xml:space="preserve">1507-CHC</t>
  </si>
  <si>
    <t xml:space="preserve">1507-WHT</t>
  </si>
  <si>
    <t xml:space="preserve">1507-GRN</t>
  </si>
  <si>
    <t xml:space="preserve">1507-YLW</t>
  </si>
  <si>
    <t xml:space="preserve">1507-ECR</t>
  </si>
  <si>
    <t xml:space="preserve">1507-CHK</t>
  </si>
  <si>
    <t xml:space="preserve">1511-OLV</t>
  </si>
  <si>
    <t xml:space="preserve">1511-BLK</t>
  </si>
  <si>
    <t xml:space="preserve">1511-NVY</t>
  </si>
  <si>
    <t xml:space="preserve">1511-CML</t>
  </si>
  <si>
    <t xml:space="preserve">1511-GRY</t>
  </si>
  <si>
    <t xml:space="preserve">1514-TRC</t>
  </si>
  <si>
    <t xml:space="preserve">1514-CHK</t>
  </si>
  <si>
    <t xml:space="preserve">1514-CML</t>
  </si>
  <si>
    <t xml:space="preserve">1516-WHT</t>
  </si>
  <si>
    <t xml:space="preserve">1516-CML</t>
  </si>
  <si>
    <t xml:space="preserve">1516-TRC</t>
  </si>
  <si>
    <t xml:space="preserve">1516-PNK</t>
  </si>
  <si>
    <t xml:space="preserve">1519-TRC</t>
  </si>
  <si>
    <t xml:space="preserve">1519-CHK</t>
  </si>
  <si>
    <t xml:space="preserve">1519-BLK</t>
  </si>
  <si>
    <t xml:space="preserve">1525-PNK</t>
  </si>
  <si>
    <t xml:space="preserve">1525-CML</t>
  </si>
  <si>
    <t xml:space="preserve">1525-CHK</t>
  </si>
  <si>
    <t xml:space="preserve">1527-GRY</t>
  </si>
  <si>
    <t xml:space="preserve">1527-PNK</t>
  </si>
  <si>
    <t xml:space="preserve">1532-OLV</t>
  </si>
  <si>
    <t xml:space="preserve">1532-GRN</t>
  </si>
  <si>
    <t xml:space="preserve">1532-ECR</t>
  </si>
  <si>
    <t xml:space="preserve">1532-CHC</t>
  </si>
  <si>
    <t xml:space="preserve">1532-CHK</t>
  </si>
  <si>
    <t xml:space="preserve">1532-CML</t>
  </si>
  <si>
    <t xml:space="preserve">1532-NVY</t>
  </si>
  <si>
    <t xml:space="preserve">1532-WHT</t>
  </si>
  <si>
    <t xml:space="preserve">1538-CHC</t>
  </si>
  <si>
    <t xml:space="preserve">1538-YLW</t>
  </si>
  <si>
    <t xml:space="preserve">1538-OLV</t>
  </si>
  <si>
    <t xml:space="preserve">1538-TAN</t>
  </si>
  <si>
    <t xml:space="preserve">1538-NVY</t>
  </si>
  <si>
    <t xml:space="preserve">1540-CHK</t>
  </si>
  <si>
    <t xml:space="preserve">1540-TRC</t>
  </si>
  <si>
    <t xml:space="preserve">1543-ECR</t>
  </si>
  <si>
    <t xml:space="preserve">1543-SKY</t>
  </si>
  <si>
    <t xml:space="preserve">1543-PNK</t>
  </si>
  <si>
    <t xml:space="preserve">1545-GRY</t>
  </si>
  <si>
    <t xml:space="preserve">1545-OLV</t>
  </si>
  <si>
    <t xml:space="preserve">1545-PNK</t>
  </si>
  <si>
    <t xml:space="preserve">1545-ECR</t>
  </si>
  <si>
    <t xml:space="preserve">1549-GRY</t>
  </si>
  <si>
    <t xml:space="preserve">1549-TAN</t>
  </si>
  <si>
    <t xml:space="preserve">1550-YLW</t>
  </si>
  <si>
    <t xml:space="preserve">1550-GRY</t>
  </si>
  <si>
    <t xml:space="preserve">1550-SKY</t>
  </si>
  <si>
    <t xml:space="preserve">1550-PNK</t>
  </si>
  <si>
    <t xml:space="preserve">1550-ECR</t>
  </si>
  <si>
    <t xml:space="preserve">1550-GRN</t>
  </si>
  <si>
    <t xml:space="preserve">1555-NVY</t>
  </si>
  <si>
    <t xml:space="preserve">1555-TAN</t>
  </si>
  <si>
    <t xml:space="preserve">1556-BRD</t>
  </si>
  <si>
    <t xml:space="preserve">1556-YLW</t>
  </si>
  <si>
    <t xml:space="preserve">1556-CHC</t>
  </si>
  <si>
    <t xml:space="preserve">1556-GRN</t>
  </si>
  <si>
    <t xml:space="preserve">1556-BLK</t>
  </si>
  <si>
    <t xml:space="preserve">1556-CML</t>
  </si>
  <si>
    <t xml:space="preserve">1556-WHT</t>
  </si>
  <si>
    <t xml:space="preserve">1556-OLV</t>
  </si>
  <si>
    <t xml:space="preserve">1559-PNK</t>
  </si>
  <si>
    <t xml:space="preserve">1559-CHK</t>
  </si>
  <si>
    <t xml:space="preserve">1559-WHT</t>
  </si>
  <si>
    <t xml:space="preserve">1559-TAN</t>
  </si>
  <si>
    <t xml:space="preserve">1559-SKY</t>
  </si>
  <si>
    <t xml:space="preserve">1559-OLV</t>
  </si>
  <si>
    <t xml:space="preserve">1564-BRD</t>
  </si>
  <si>
    <t xml:space="preserve">1564-YLW</t>
  </si>
  <si>
    <t xml:space="preserve">1564-BLK</t>
  </si>
  <si>
    <t xml:space="preserve">1564-ECR</t>
  </si>
  <si>
    <t xml:space="preserve">1564-NVY</t>
  </si>
  <si>
    <t xml:space="preserve">1567-SKY</t>
  </si>
  <si>
    <t xml:space="preserve">1567-PNK</t>
  </si>
  <si>
    <t xml:space="preserve">1567-TAN</t>
  </si>
  <si>
    <t xml:space="preserve">1567-CML</t>
  </si>
  <si>
    <t xml:space="preserve">1567-NVY</t>
  </si>
  <si>
    <t xml:space="preserve">1568-GRN</t>
  </si>
  <si>
    <t xml:space="preserve">1575-GRN</t>
  </si>
  <si>
    <t xml:space="preserve">1575-BLK</t>
  </si>
  <si>
    <t xml:space="preserve">1575-CHK</t>
  </si>
  <si>
    <t xml:space="preserve">1575-SKY</t>
  </si>
  <si>
    <t xml:space="preserve">1575-TAN</t>
  </si>
  <si>
    <t xml:space="preserve">1575-PNK</t>
  </si>
  <si>
    <t xml:space="preserve">1582-CHK</t>
  </si>
  <si>
    <t xml:space="preserve">1582-GRN</t>
  </si>
  <si>
    <t xml:space="preserve">1582-OLV</t>
  </si>
  <si>
    <t xml:space="preserve">1582-TAN</t>
  </si>
  <si>
    <t xml:space="preserve">1582-BRD</t>
  </si>
  <si>
    <t xml:space="preserve">1582-GRY</t>
  </si>
  <si>
    <t xml:space="preserve">1586-GRY</t>
  </si>
  <si>
    <t xml:space="preserve">1586-CHC</t>
  </si>
  <si>
    <t xml:space="preserve">1588-TAN</t>
  </si>
  <si>
    <t xml:space="preserve">1595-NVY</t>
  </si>
  <si>
    <t xml:space="preserve">1601-WHT</t>
  </si>
  <si>
    <t xml:space="preserve">1601-CHK</t>
  </si>
  <si>
    <t xml:space="preserve">1601-ECR</t>
  </si>
  <si>
    <t xml:space="preserve">1601-YLW</t>
  </si>
  <si>
    <t xml:space="preserve">1607-BLK</t>
  </si>
  <si>
    <t xml:space="preserve">1607-SKY</t>
  </si>
  <si>
    <t xml:space="preserve">1607-CHK</t>
  </si>
  <si>
    <t xml:space="preserve">1607-TAN</t>
  </si>
  <si>
    <t xml:space="preserve">1612-GRN</t>
  </si>
  <si>
    <t xml:space="preserve">1612-TAN</t>
  </si>
  <si>
    <t xml:space="preserve">1613-BRD</t>
  </si>
  <si>
    <t xml:space="preserve">1613-SKY</t>
  </si>
  <si>
    <t xml:space="preserve">1613-TAN</t>
  </si>
  <si>
    <t xml:space="preserve">1613-OLV</t>
  </si>
  <si>
    <t xml:space="preserve">1613-ECR</t>
  </si>
  <si>
    <t xml:space="preserve">1613-CHC</t>
  </si>
  <si>
    <t xml:space="preserve">1620-BLK</t>
  </si>
  <si>
    <t xml:space="preserve">1620-GRN</t>
  </si>
  <si>
    <t xml:space="preserve">1620-SKY</t>
  </si>
  <si>
    <t xml:space="preserve">1620-CHK</t>
  </si>
  <si>
    <t xml:space="preserve">1620-YLW</t>
  </si>
  <si>
    <t xml:space="preserve">1620-PNK</t>
  </si>
  <si>
    <t xml:space="preserve">1627-SKY</t>
  </si>
  <si>
    <t xml:space="preserve">1627-CHC</t>
  </si>
  <si>
    <t xml:space="preserve">1627-OLV</t>
  </si>
  <si>
    <t xml:space="preserve">1627-GRY</t>
  </si>
  <si>
    <t xml:space="preserve">1627-WHT</t>
  </si>
  <si>
    <t xml:space="preserve">1627-ECR</t>
  </si>
  <si>
    <t xml:space="preserve">1630-CHC</t>
  </si>
  <si>
    <t xml:space="preserve">1630-GRY</t>
  </si>
  <si>
    <t xml:space="preserve">1630-WHT</t>
  </si>
  <si>
    <t xml:space="preserve">1630-OLV</t>
  </si>
  <si>
    <t xml:space="preserve">1630-BRD</t>
  </si>
  <si>
    <t xml:space="preserve">1630-ECR</t>
  </si>
  <si>
    <t xml:space="preserve">1630-PNK</t>
  </si>
  <si>
    <t xml:space="preserve">1630-NVY</t>
  </si>
  <si>
    <t xml:space="preserve">1637-SKY</t>
  </si>
  <si>
    <t xml:space="preserve">1637-GRY</t>
  </si>
  <si>
    <t xml:space="preserve">1637-TAN</t>
  </si>
  <si>
    <t xml:space="preserve">1638-GRY</t>
  </si>
  <si>
    <t xml:space="preserve">1638-SKY</t>
  </si>
  <si>
    <t xml:space="preserve">1639-NVY</t>
  </si>
  <si>
    <t xml:space="preserve">1639-GRN</t>
  </si>
  <si>
    <t xml:space="preserve">1639-YLW</t>
  </si>
  <si>
    <t xml:space="preserve">1639-OLV</t>
  </si>
  <si>
    <t xml:space="preserve">1646-TRC</t>
  </si>
  <si>
    <t xml:space="preserve">1646-OLV</t>
  </si>
  <si>
    <t xml:space="preserve">1646-CML</t>
  </si>
  <si>
    <t xml:space="preserve">1647-SKY</t>
  </si>
  <si>
    <t xml:space="preserve">1647-BRD</t>
  </si>
  <si>
    <t xml:space="preserve">1648-WHT</t>
  </si>
  <si>
    <t xml:space="preserve">1648-CHC</t>
  </si>
  <si>
    <t xml:space="preserve">1648-OLV</t>
  </si>
  <si>
    <t xml:space="preserve">1648-GRY</t>
  </si>
  <si>
    <t xml:space="preserve">1648-PNK</t>
  </si>
  <si>
    <t xml:space="preserve">1653-PNK</t>
  </si>
  <si>
    <t xml:space="preserve">1653-ECR</t>
  </si>
  <si>
    <t xml:space="preserve">1653-YLW</t>
  </si>
  <si>
    <t xml:space="preserve">1653-WHT</t>
  </si>
  <si>
    <t xml:space="preserve">1659-WHT</t>
  </si>
  <si>
    <t xml:space="preserve">1659-TRC</t>
  </si>
  <si>
    <t xml:space="preserve">1659-OLV</t>
  </si>
  <si>
    <t xml:space="preserve">1660-YLW</t>
  </si>
  <si>
    <t xml:space="preserve">1660-OLV</t>
  </si>
  <si>
    <t xml:space="preserve">1660-BLK</t>
  </si>
  <si>
    <t xml:space="preserve">1660-CML</t>
  </si>
  <si>
    <t xml:space="preserve">1660-TAN</t>
  </si>
  <si>
    <t xml:space="preserve">1667-CHK</t>
  </si>
  <si>
    <t xml:space="preserve">1669-CML</t>
  </si>
  <si>
    <t xml:space="preserve">1669-BLK</t>
  </si>
  <si>
    <t xml:space="preserve">1669-SKY</t>
  </si>
  <si>
    <t xml:space="preserve">1676-WHT</t>
  </si>
  <si>
    <t xml:space="preserve">1676-PNK</t>
  </si>
  <si>
    <t xml:space="preserve">1676-CML</t>
  </si>
  <si>
    <t xml:space="preserve">1676-SKY</t>
  </si>
  <si>
    <t xml:space="preserve">1676-ECR</t>
  </si>
  <si>
    <t xml:space="preserve">1676-GRY</t>
  </si>
  <si>
    <t xml:space="preserve">1676-BLK</t>
  </si>
  <si>
    <t xml:space="preserve">1676-GRN</t>
  </si>
  <si>
    <t xml:space="preserve">1678-BLK</t>
  </si>
  <si>
    <t xml:space="preserve">1678-OLV</t>
  </si>
  <si>
    <t xml:space="preserve">1682-WHT</t>
  </si>
  <si>
    <t xml:space="preserve">1682-BRD</t>
  </si>
  <si>
    <t xml:space="preserve">1682-OLV</t>
  </si>
  <si>
    <t xml:space="preserve">1682-TAN</t>
  </si>
  <si>
    <t xml:space="preserve">1684-CHC</t>
  </si>
  <si>
    <t xml:space="preserve">1684-YLW</t>
  </si>
  <si>
    <t xml:space="preserve">1684-PNK</t>
  </si>
  <si>
    <t xml:space="preserve">1687-TRC</t>
  </si>
  <si>
    <t xml:space="preserve">1687-CHC</t>
  </si>
  <si>
    <t xml:space="preserve">1687-BRD</t>
  </si>
  <si>
    <t xml:space="preserve">1687-PNK</t>
  </si>
  <si>
    <t xml:space="preserve">1694-TRC</t>
  </si>
  <si>
    <t xml:space="preserve">1694-WHT</t>
  </si>
  <si>
    <t xml:space="preserve">1694-BRD</t>
  </si>
  <si>
    <t xml:space="preserve">1701-CML</t>
  </si>
  <si>
    <t xml:space="preserve">1701-TRC</t>
  </si>
  <si>
    <t xml:space="preserve">1701-ECR</t>
  </si>
  <si>
    <t xml:space="preserve">1703-CML</t>
  </si>
  <si>
    <t xml:space="preserve">1703-TAN</t>
  </si>
  <si>
    <t xml:space="preserve">1703-GRY</t>
  </si>
  <si>
    <t xml:space="preserve">1706-YLW</t>
  </si>
  <si>
    <t xml:space="preserve">1706-CHK</t>
  </si>
  <si>
    <t xml:space="preserve">1706-TAN</t>
  </si>
  <si>
    <t xml:space="preserve">1707-TRC</t>
  </si>
  <si>
    <t xml:space="preserve">1707-OLV</t>
  </si>
  <si>
    <t xml:space="preserve">1707-CHK</t>
  </si>
  <si>
    <t xml:space="preserve">1707-YLW</t>
  </si>
  <si>
    <t xml:space="preserve">1710-WHT</t>
  </si>
  <si>
    <t xml:space="preserve">1710-CHC</t>
  </si>
  <si>
    <t xml:space="preserve">1711-WHT</t>
  </si>
  <si>
    <t xml:space="preserve">1711-YLW</t>
  </si>
  <si>
    <t xml:space="preserve">1711-GRN</t>
  </si>
  <si>
    <t xml:space="preserve">1711-BLK</t>
  </si>
  <si>
    <t xml:space="preserve">1712-GRN</t>
  </si>
  <si>
    <t xml:space="preserve">1712-NVY</t>
  </si>
  <si>
    <t xml:space="preserve">1712-PNK</t>
  </si>
  <si>
    <t xml:space="preserve">1712-SKY</t>
  </si>
  <si>
    <t xml:space="preserve">1712-BRD</t>
  </si>
  <si>
    <t xml:space="preserve">1713-CML</t>
  </si>
  <si>
    <t xml:space="preserve">1713-TAN</t>
  </si>
  <si>
    <t xml:space="preserve">1713-NVY</t>
  </si>
  <si>
    <t xml:space="preserve">1713-YLW</t>
  </si>
  <si>
    <t xml:space="preserve">1716-CHK</t>
  </si>
  <si>
    <t xml:space="preserve">1720-GRN</t>
  </si>
  <si>
    <t xml:space="preserve">1721-YLW</t>
  </si>
  <si>
    <t xml:space="preserve">1721-ECR</t>
  </si>
  <si>
    <t xml:space="preserve">1721-NVY</t>
  </si>
  <si>
    <t xml:space="preserve">1723-TAN</t>
  </si>
  <si>
    <t xml:space="preserve">1723-GRY</t>
  </si>
  <si>
    <t xml:space="preserve">1725-TRC</t>
  </si>
  <si>
    <t xml:space="preserve">1725-NVY</t>
  </si>
  <si>
    <t xml:space="preserve">1725-ECR</t>
  </si>
  <si>
    <t xml:space="preserve">1725-TAN</t>
  </si>
  <si>
    <t xml:space="preserve">1726-BRD</t>
  </si>
  <si>
    <t xml:space="preserve">1728-YLW</t>
  </si>
  <si>
    <t xml:space="preserve">1728-CHC</t>
  </si>
  <si>
    <t xml:space="preserve">1728-WHT</t>
  </si>
  <si>
    <t xml:space="preserve">1728-NVY</t>
  </si>
  <si>
    <t xml:space="preserve">1728-PNK</t>
  </si>
  <si>
    <t xml:space="preserve">1728-TAN</t>
  </si>
  <si>
    <t xml:space="preserve">1731-WHT</t>
  </si>
  <si>
    <t xml:space="preserve">1731-OLV</t>
  </si>
  <si>
    <t xml:space="preserve">1735-CHC</t>
  </si>
  <si>
    <t xml:space="preserve">1735-CML</t>
  </si>
  <si>
    <t xml:space="preserve">1735-GRY</t>
  </si>
  <si>
    <t xml:space="preserve">1741-PNK</t>
  </si>
  <si>
    <t xml:space="preserve">1741-TAN</t>
  </si>
  <si>
    <t xml:space="preserve">1743-PNK</t>
  </si>
  <si>
    <t xml:space="preserve">1743-CHK</t>
  </si>
  <si>
    <t xml:space="preserve">1745-NVY</t>
  </si>
  <si>
    <t xml:space="preserve">1745-OLV</t>
  </si>
  <si>
    <t xml:space="preserve">1745-CHC</t>
  </si>
  <si>
    <t xml:space="preserve">1745-BLK</t>
  </si>
  <si>
    <t xml:space="preserve">1747-BLK</t>
  </si>
  <si>
    <t xml:space="preserve">1747-YLW</t>
  </si>
  <si>
    <t xml:space="preserve">1751-NVY</t>
  </si>
  <si>
    <t xml:space="preserve">1751-GRY</t>
  </si>
  <si>
    <t xml:space="preserve">1756-NVY</t>
  </si>
  <si>
    <t xml:space="preserve">1758-ECR</t>
  </si>
  <si>
    <t xml:space="preserve">1765-BLK</t>
  </si>
  <si>
    <t xml:space="preserve">1765-SKY</t>
  </si>
  <si>
    <t xml:space="preserve">1765-TRC</t>
  </si>
  <si>
    <t xml:space="preserve">1766-TRC</t>
  </si>
  <si>
    <t xml:space="preserve">1766-WHT</t>
  </si>
  <si>
    <t xml:space="preserve">1767-PNK</t>
  </si>
  <si>
    <t xml:space="preserve">1767-CML</t>
  </si>
  <si>
    <t xml:space="preserve">1767-OLV</t>
  </si>
  <si>
    <t xml:space="preserve">1774-NVY</t>
  </si>
  <si>
    <t xml:space="preserve">1774-OLV</t>
  </si>
  <si>
    <t xml:space="preserve">1774-CHK</t>
  </si>
  <si>
    <t xml:space="preserve">1774-CHC</t>
  </si>
  <si>
    <t xml:space="preserve">1774-ECR</t>
  </si>
  <si>
    <t xml:space="preserve">1774-BRD</t>
  </si>
  <si>
    <t xml:space="preserve">1774-YLW</t>
  </si>
  <si>
    <t xml:space="preserve">1774-WHT</t>
  </si>
  <si>
    <t xml:space="preserve">1778-CML</t>
  </si>
  <si>
    <t xml:space="preserve">1778-TRC</t>
  </si>
  <si>
    <t xml:space="preserve">1782-CHC</t>
  </si>
  <si>
    <t xml:space="preserve">1782-OLV</t>
  </si>
  <si>
    <t xml:space="preserve">1782-BLK</t>
  </si>
  <si>
    <t xml:space="preserve">1782-YLW</t>
  </si>
  <si>
    <t xml:space="preserve">1782-BRD</t>
  </si>
  <si>
    <t xml:space="preserve">1782-CML</t>
  </si>
  <si>
    <t xml:space="preserve">1785-BRD</t>
  </si>
  <si>
    <t xml:space="preserve">1785-YLW</t>
  </si>
  <si>
    <t xml:space="preserve">1785-SKY</t>
  </si>
  <si>
    <t xml:space="preserve">1792-GRN</t>
  </si>
  <si>
    <t xml:space="preserve">1792-NVY</t>
  </si>
  <si>
    <t xml:space="preserve">1792-YLW</t>
  </si>
  <si>
    <t xml:space="preserve">1792-ECR</t>
  </si>
  <si>
    <t xml:space="preserve">1792-WHT</t>
  </si>
  <si>
    <t xml:space="preserve">1794-BLK</t>
  </si>
  <si>
    <t xml:space="preserve">1794-TRC</t>
  </si>
  <si>
    <t xml:space="preserve">1794-BRD</t>
  </si>
  <si>
    <t xml:space="preserve">1794-CHK</t>
  </si>
  <si>
    <t xml:space="preserve">1795-BRD</t>
  </si>
  <si>
    <t xml:space="preserve">1795-SKY</t>
  </si>
  <si>
    <t xml:space="preserve">1795-PNK</t>
  </si>
  <si>
    <t xml:space="preserve">1795-ECR</t>
  </si>
  <si>
    <t xml:space="preserve">1795-GRY</t>
  </si>
  <si>
    <t xml:space="preserve">1795-CML</t>
  </si>
  <si>
    <t xml:space="preserve">1798-CHK</t>
  </si>
  <si>
    <t xml:space="preserve">1802-WHT</t>
  </si>
  <si>
    <t xml:space="preserve">1802-TRC</t>
  </si>
  <si>
    <t xml:space="preserve">1805-CHC</t>
  </si>
  <si>
    <t xml:space="preserve">1806-GRN</t>
  </si>
  <si>
    <t xml:space="preserve">1806-TAN</t>
  </si>
  <si>
    <t xml:space="preserve">1806-SKY</t>
  </si>
  <si>
    <t xml:space="preserve">1811-TAN</t>
  </si>
  <si>
    <t xml:space="preserve">1811-PNK</t>
  </si>
  <si>
    <t xml:space="preserve">1811-GRY</t>
  </si>
  <si>
    <t xml:space="preserve">1811-ECR</t>
  </si>
  <si>
    <t xml:space="preserve">1818-GRN</t>
  </si>
  <si>
    <t xml:space="preserve">1818-YLW</t>
  </si>
  <si>
    <t xml:space="preserve">1818-TRC</t>
  </si>
  <si>
    <t xml:space="preserve">1818-TAN</t>
  </si>
  <si>
    <t xml:space="preserve">SKU</t>
  </si>
  <si>
    <t xml:space="preserve">Style code</t>
  </si>
  <si>
    <t xml:space="preserve">Style name</t>
  </si>
  <si>
    <t xml:space="preserve">Gender</t>
  </si>
  <si>
    <t xml:space="preserve">Development stage</t>
  </si>
  <si>
    <t xml:space="preserve">Main material code</t>
  </si>
  <si>
    <t xml:space="preserve">S26W0104-CHC</t>
  </si>
  <si>
    <t xml:space="preserve">S26W0104</t>
  </si>
  <si>
    <t xml:space="preserve">Cape</t>
  </si>
  <si>
    <t xml:space="preserve">Men</t>
  </si>
  <si>
    <t xml:space="preserve">Fitting 2</t>
  </si>
  <si>
    <t xml:space="preserve">S26W0108-CHC</t>
  </si>
  <si>
    <t xml:space="preserve">S26W0108</t>
  </si>
  <si>
    <t xml:space="preserve">Coat</t>
  </si>
  <si>
    <t xml:space="preserve">Women</t>
  </si>
  <si>
    <t xml:space="preserve">Fitting 3</t>
  </si>
  <si>
    <t xml:space="preserve">S26W0112-CHC</t>
  </si>
  <si>
    <t xml:space="preserve">S26W0112</t>
  </si>
  <si>
    <t xml:space="preserve">Puffer</t>
  </si>
  <si>
    <t xml:space="preserve">S26W0116-ECR</t>
  </si>
  <si>
    <t xml:space="preserve">S26W0116</t>
  </si>
  <si>
    <t xml:space="preserve">Chore jacket</t>
  </si>
  <si>
    <t xml:space="preserve">S26W0118-ECR</t>
  </si>
  <si>
    <t xml:space="preserve">S26W0118</t>
  </si>
  <si>
    <t xml:space="preserve">S26W0120-ECR</t>
  </si>
  <si>
    <t xml:space="preserve">S26W0120</t>
  </si>
  <si>
    <t xml:space="preserve">Slip dress</t>
  </si>
  <si>
    <t xml:space="preserve">S26W0120-WHT</t>
  </si>
  <si>
    <t xml:space="preserve">S26W0122-CHK</t>
  </si>
  <si>
    <t xml:space="preserve">S26W0122</t>
  </si>
  <si>
    <t xml:space="preserve">Trousers</t>
  </si>
  <si>
    <t xml:space="preserve">S26W0124-GRY</t>
  </si>
  <si>
    <t xml:space="preserve">S26W0124</t>
  </si>
  <si>
    <t xml:space="preserve">Blazer</t>
  </si>
  <si>
    <t xml:space="preserve">Fitting 1</t>
  </si>
  <si>
    <t xml:space="preserve">S26W0124-CHK</t>
  </si>
  <si>
    <t xml:space="preserve">S26W0125-SKY</t>
  </si>
  <si>
    <t xml:space="preserve">S26W0125</t>
  </si>
  <si>
    <t xml:space="preserve">Shirt dress</t>
  </si>
  <si>
    <t xml:space="preserve">S26W0125-BRD</t>
  </si>
  <si>
    <t xml:space="preserve">S26W0126-GRN</t>
  </si>
  <si>
    <t xml:space="preserve">S26W0126</t>
  </si>
  <si>
    <t xml:space="preserve">Leather skirt</t>
  </si>
  <si>
    <t xml:space="preserve">S26W0130-YLW</t>
  </si>
  <si>
    <t xml:space="preserve">S26W0130</t>
  </si>
  <si>
    <t xml:space="preserve">S26W0131-BRD</t>
  </si>
  <si>
    <t xml:space="preserve">S26W0131</t>
  </si>
  <si>
    <t xml:space="preserve">Polo</t>
  </si>
  <si>
    <t xml:space="preserve">S26W0131-GRY</t>
  </si>
  <si>
    <t xml:space="preserve">S26W0135-GRY</t>
  </si>
  <si>
    <t xml:space="preserve">S26W0135</t>
  </si>
  <si>
    <t xml:space="preserve">T-shirt</t>
  </si>
  <si>
    <t xml:space="preserve">S26W0135-BLK</t>
  </si>
  <si>
    <t xml:space="preserve">S26W0137-WHT</t>
  </si>
  <si>
    <t xml:space="preserve">S26W0137</t>
  </si>
  <si>
    <t xml:space="preserve">Trench</t>
  </si>
  <si>
    <t xml:space="preserve">S26W0141-OLV</t>
  </si>
  <si>
    <t xml:space="preserve">S26W0141</t>
  </si>
  <si>
    <t xml:space="preserve">Edit</t>
  </si>
  <si>
    <t xml:space="preserve">S26W0141-TAN</t>
  </si>
  <si>
    <t xml:space="preserve">S26W0142-YLW</t>
  </si>
  <si>
    <t xml:space="preserve">S26W0142</t>
  </si>
  <si>
    <t xml:space="preserve">Bomber</t>
  </si>
  <si>
    <t xml:space="preserve">Dropped</t>
  </si>
  <si>
    <t xml:space="preserve">S26W0142-CHC</t>
  </si>
  <si>
    <t xml:space="preserve">S26W0144-OLV</t>
  </si>
  <si>
    <t xml:space="preserve">S26W0144</t>
  </si>
  <si>
    <t xml:space="preserve">S26W0146-TRC</t>
  </si>
  <si>
    <t xml:space="preserve">S26W0146</t>
  </si>
  <si>
    <t xml:space="preserve">S26W0147-CML</t>
  </si>
  <si>
    <t xml:space="preserve">S26W0147</t>
  </si>
  <si>
    <t xml:space="preserve">S26W0147-GRY</t>
  </si>
  <si>
    <t xml:space="preserve">S26W0150-CML</t>
  </si>
  <si>
    <t xml:space="preserve">S26W0150</t>
  </si>
  <si>
    <t xml:space="preserve">S26W0153-CML</t>
  </si>
  <si>
    <t xml:space="preserve">S26W0153</t>
  </si>
  <si>
    <t xml:space="preserve">S26W0157-SKY</t>
  </si>
  <si>
    <t xml:space="preserve">S26W0157</t>
  </si>
  <si>
    <t xml:space="preserve">S26W0161-SKY</t>
  </si>
  <si>
    <t xml:space="preserve">S26W0161</t>
  </si>
  <si>
    <t xml:space="preserve">Leather jacket</t>
  </si>
  <si>
    <t xml:space="preserve">S26W0165-NVY</t>
  </si>
  <si>
    <t xml:space="preserve">S26W0165</t>
  </si>
  <si>
    <t xml:space="preserve">Dress</t>
  </si>
  <si>
    <t xml:space="preserve">S26W0167-PNK</t>
  </si>
  <si>
    <t xml:space="preserve">S26W0167</t>
  </si>
  <si>
    <t xml:space="preserve">Long-sleeve top</t>
  </si>
  <si>
    <t xml:space="preserve">S26W0169-NVY</t>
  </si>
  <si>
    <t xml:space="preserve">S26W0169</t>
  </si>
  <si>
    <t xml:space="preserve">S26W0169-PNK</t>
  </si>
  <si>
    <t xml:space="preserve">S26W0171-ECR</t>
  </si>
  <si>
    <t xml:space="preserve">S26W0171</t>
  </si>
  <si>
    <t xml:space="preserve">Shirt</t>
  </si>
  <si>
    <t xml:space="preserve">S26W0174-GRY</t>
  </si>
  <si>
    <t xml:space="preserve">S26W0174</t>
  </si>
  <si>
    <t xml:space="preserve">S26W0176-NVY</t>
  </si>
  <si>
    <t xml:space="preserve">S26W0176</t>
  </si>
  <si>
    <t xml:space="preserve">S26W0178-YLW</t>
  </si>
  <si>
    <t xml:space="preserve">S26W0178</t>
  </si>
  <si>
    <t xml:space="preserve">S26W0178-GRY</t>
  </si>
  <si>
    <t xml:space="preserve">S26W0180-WHT</t>
  </si>
  <si>
    <t xml:space="preserve">S26W0180</t>
  </si>
  <si>
    <t xml:space="preserve">S26W0182-CML</t>
  </si>
  <si>
    <t xml:space="preserve">S26W0182</t>
  </si>
  <si>
    <t xml:space="preserve">S26W0184-SKY</t>
  </si>
  <si>
    <t xml:space="preserve">S26W0184</t>
  </si>
  <si>
    <t xml:space="preserve">S26W0185-SKY</t>
  </si>
  <si>
    <t xml:space="preserve">S26W0185</t>
  </si>
  <si>
    <t xml:space="preserve">S26W0187-SKY</t>
  </si>
  <si>
    <t xml:space="preserve">S26W0187</t>
  </si>
  <si>
    <t xml:space="preserve">S26W0188-YLW</t>
  </si>
  <si>
    <t xml:space="preserve">S26W0188</t>
  </si>
  <si>
    <t xml:space="preserve">S26W0190-OLV</t>
  </si>
  <si>
    <t xml:space="preserve">S26W0190</t>
  </si>
  <si>
    <t xml:space="preserve">Knit dress</t>
  </si>
  <si>
    <t xml:space="preserve">S26W0190-YLW</t>
  </si>
  <si>
    <t xml:space="preserve">S26W0190-CHK</t>
  </si>
  <si>
    <t xml:space="preserve">S26W0194-TAN</t>
  </si>
  <si>
    <t xml:space="preserve">S26W0194</t>
  </si>
  <si>
    <t xml:space="preserve">S26W0194-CML</t>
  </si>
  <si>
    <t xml:space="preserve">S26W0196-BRD</t>
  </si>
  <si>
    <t xml:space="preserve">S26W0196</t>
  </si>
  <si>
    <t xml:space="preserve">S26W0199-OLV</t>
  </si>
  <si>
    <t xml:space="preserve">S26W0199</t>
  </si>
  <si>
    <t xml:space="preserve">Tailored jacket</t>
  </si>
  <si>
    <t xml:space="preserve">S26W0201-OLV</t>
  </si>
  <si>
    <t xml:space="preserve">S26W0201</t>
  </si>
  <si>
    <t xml:space="preserve">S26W0201-NVY</t>
  </si>
  <si>
    <t xml:space="preserve">S26W0205-OLV</t>
  </si>
  <si>
    <t xml:space="preserve">S26W0205</t>
  </si>
  <si>
    <t xml:space="preserve">Blouse</t>
  </si>
  <si>
    <t xml:space="preserve">S26W0206-OLV</t>
  </si>
  <si>
    <t xml:space="preserve">S26W0206</t>
  </si>
  <si>
    <t xml:space="preserve">Skirt</t>
  </si>
  <si>
    <t xml:space="preserve">S26W0208-OLV</t>
  </si>
  <si>
    <t xml:space="preserve">S26W0208</t>
  </si>
  <si>
    <t xml:space="preserve">Scarf</t>
  </si>
  <si>
    <t xml:space="preserve">S26W0208-CML</t>
  </si>
  <si>
    <t xml:space="preserve">S26W0211-BLK</t>
  </si>
  <si>
    <t xml:space="preserve">S26W0211</t>
  </si>
  <si>
    <t xml:space="preserve">S26W0215-TAN</t>
  </si>
  <si>
    <t xml:space="preserve">S26W0215</t>
  </si>
  <si>
    <t xml:space="preserve">S26W0218-TAN</t>
  </si>
  <si>
    <t xml:space="preserve">S26W0218</t>
  </si>
  <si>
    <t xml:space="preserve">S26W0222-CHK</t>
  </si>
  <si>
    <t xml:space="preserve">S26W0222</t>
  </si>
  <si>
    <t xml:space="preserve">S26W0222-BLK</t>
  </si>
  <si>
    <t xml:space="preserve">S26W0222-OLV</t>
  </si>
  <si>
    <t xml:space="preserve">S26W0226-BLK</t>
  </si>
  <si>
    <t xml:space="preserve">S26W0226</t>
  </si>
  <si>
    <t xml:space="preserve">S26W0227-NVY</t>
  </si>
  <si>
    <t xml:space="preserve">S26W0227</t>
  </si>
  <si>
    <t xml:space="preserve">S26W0227-OLV</t>
  </si>
  <si>
    <t xml:space="preserve">S26W0231-YLW</t>
  </si>
  <si>
    <t xml:space="preserve">S26W0231</t>
  </si>
  <si>
    <t xml:space="preserve">S26W0233-YLW</t>
  </si>
  <si>
    <t xml:space="preserve">S26W0233</t>
  </si>
  <si>
    <t xml:space="preserve">S26W0235-TRC</t>
  </si>
  <si>
    <t xml:space="preserve">S26W0235</t>
  </si>
  <si>
    <t xml:space="preserve">Sweater</t>
  </si>
  <si>
    <t xml:space="preserve">S26W0235-GRN</t>
  </si>
  <si>
    <t xml:space="preserve">S26W0237-ECR</t>
  </si>
  <si>
    <t xml:space="preserve">S26W0237</t>
  </si>
  <si>
    <t xml:space="preserve">Knit polo</t>
  </si>
  <si>
    <t xml:space="preserve">S26W0237-GRN</t>
  </si>
  <si>
    <t xml:space="preserve">S26W0237-TRC</t>
  </si>
  <si>
    <t xml:space="preserve">S26W0240-ECR</t>
  </si>
  <si>
    <t xml:space="preserve">S26W0240</t>
  </si>
  <si>
    <t xml:space="preserve">S26W0244-TRC</t>
  </si>
  <si>
    <t xml:space="preserve">S26W0244</t>
  </si>
  <si>
    <t xml:space="preserve">S26W0244-PNK</t>
  </si>
  <si>
    <t xml:space="preserve">S26W0246-CHC</t>
  </si>
  <si>
    <t xml:space="preserve">S26W0246</t>
  </si>
  <si>
    <t xml:space="preserve">S26W0247-YLW</t>
  </si>
  <si>
    <t xml:space="preserve">S26W0247</t>
  </si>
  <si>
    <t xml:space="preserve">S26W0248-WHT</t>
  </si>
  <si>
    <t xml:space="preserve">S26W0248</t>
  </si>
  <si>
    <t xml:space="preserve">S26W0251-WHT</t>
  </si>
  <si>
    <t xml:space="preserve">S26W0251</t>
  </si>
  <si>
    <t xml:space="preserve">S26W0254-BRD</t>
  </si>
  <si>
    <t xml:space="preserve">S26W0254</t>
  </si>
  <si>
    <t xml:space="preserve">S26W0255-GRY</t>
  </si>
  <si>
    <t xml:space="preserve">S26W0255</t>
  </si>
  <si>
    <t xml:space="preserve">Shorts</t>
  </si>
  <si>
    <t xml:space="preserve">S26W0256-GRY</t>
  </si>
  <si>
    <t xml:space="preserve">S26W0256</t>
  </si>
  <si>
    <t xml:space="preserve">S26W0259-CHK</t>
  </si>
  <si>
    <t xml:space="preserve">S26W0259</t>
  </si>
  <si>
    <t xml:space="preserve">S26W0262-BRD</t>
  </si>
  <si>
    <t xml:space="preserve">S26W0262</t>
  </si>
  <si>
    <t xml:space="preserve">S26W0264-CHK</t>
  </si>
  <si>
    <t xml:space="preserve">S26W0264</t>
  </si>
  <si>
    <t xml:space="preserve">S26W0267-TAN</t>
  </si>
  <si>
    <t xml:space="preserve">S26W0267</t>
  </si>
  <si>
    <t xml:space="preserve">S26W0270-TAN</t>
  </si>
  <si>
    <t xml:space="preserve">S26W0270</t>
  </si>
  <si>
    <t xml:space="preserve">S26W0272-TAN</t>
  </si>
  <si>
    <t xml:space="preserve">S26W0272</t>
  </si>
  <si>
    <t xml:space="preserve">S26W0273-WHT</t>
  </si>
  <si>
    <t xml:space="preserve">S26W0273</t>
  </si>
  <si>
    <t xml:space="preserve">S26W0276-GRY</t>
  </si>
  <si>
    <t xml:space="preserve">S26W0276</t>
  </si>
  <si>
    <t xml:space="preserve">Leather trousers</t>
  </si>
  <si>
    <t xml:space="preserve">S26W0276-WHT</t>
  </si>
  <si>
    <t xml:space="preserve">S26W0277-CML</t>
  </si>
  <si>
    <t xml:space="preserve">S26W0277</t>
  </si>
  <si>
    <t xml:space="preserve">S26W0280-OLV</t>
  </si>
  <si>
    <t xml:space="preserve">S26W0280</t>
  </si>
  <si>
    <t xml:space="preserve">S26W0282-CML</t>
  </si>
  <si>
    <t xml:space="preserve">S26W0282</t>
  </si>
  <si>
    <t xml:space="preserve">S26W0283-CML</t>
  </si>
  <si>
    <t xml:space="preserve">S26W0283</t>
  </si>
  <si>
    <t xml:space="preserve">S26W0284-SKY</t>
  </si>
  <si>
    <t xml:space="preserve">S26W0284</t>
  </si>
  <si>
    <t xml:space="preserve">S26W0285-YLW</t>
  </si>
  <si>
    <t xml:space="preserve">S26W0285</t>
  </si>
  <si>
    <t xml:space="preserve">Anorak</t>
  </si>
  <si>
    <t xml:space="preserve">S26W0289-CHK</t>
  </si>
  <si>
    <t xml:space="preserve">S26W0289</t>
  </si>
  <si>
    <t xml:space="preserve">S26W0293-GRY</t>
  </si>
  <si>
    <t xml:space="preserve">S26W0293</t>
  </si>
  <si>
    <t xml:space="preserve">S26W0293-CML</t>
  </si>
  <si>
    <t xml:space="preserve">S26W0295-CML</t>
  </si>
  <si>
    <t xml:space="preserve">S26W0295</t>
  </si>
  <si>
    <t xml:space="preserve">S26W0295-GRY</t>
  </si>
  <si>
    <t xml:space="preserve">S26W0297-ECR</t>
  </si>
  <si>
    <t xml:space="preserve">S26W0297</t>
  </si>
  <si>
    <t xml:space="preserve">S26W0301-SKY</t>
  </si>
  <si>
    <t xml:space="preserve">S26W0301</t>
  </si>
  <si>
    <t xml:space="preserve">S26W0304-GRY</t>
  </si>
  <si>
    <t xml:space="preserve">S26W0304</t>
  </si>
  <si>
    <t xml:space="preserve">S26W0305-YLW</t>
  </si>
  <si>
    <t xml:space="preserve">S26W0305</t>
  </si>
  <si>
    <t xml:space="preserve">S26W0306-ECR</t>
  </si>
  <si>
    <t xml:space="preserve">S26W0306</t>
  </si>
  <si>
    <t xml:space="preserve">S26W0309-CHC</t>
  </si>
  <si>
    <t xml:space="preserve">S26W0309</t>
  </si>
  <si>
    <t xml:space="preserve">S26W0310-CHC</t>
  </si>
  <si>
    <t xml:space="preserve">S26W0310</t>
  </si>
  <si>
    <t xml:space="preserve">S26W0314-ECR</t>
  </si>
  <si>
    <t xml:space="preserve">S26W0314</t>
  </si>
  <si>
    <t xml:space="preserve">S26W0317-WHT</t>
  </si>
  <si>
    <t xml:space="preserve">S26W0317</t>
  </si>
  <si>
    <t xml:space="preserve">S26W0317-BRD</t>
  </si>
  <si>
    <t xml:space="preserve">S26W0318-OLV</t>
  </si>
  <si>
    <t xml:space="preserve">S26W0318</t>
  </si>
  <si>
    <t xml:space="preserve">S26W0318-ECR</t>
  </si>
  <si>
    <t xml:space="preserve">S26W0321-GRY</t>
  </si>
  <si>
    <t xml:space="preserve">S26W0321</t>
  </si>
  <si>
    <t xml:space="preserve">S27P0322-BRD</t>
  </si>
  <si>
    <t xml:space="preserve">S27P0322</t>
  </si>
  <si>
    <t xml:space="preserve">S27P0322-YLW</t>
  </si>
  <si>
    <t xml:space="preserve">S27P0325-NVY</t>
  </si>
  <si>
    <t xml:space="preserve">S27P0325</t>
  </si>
  <si>
    <t xml:space="preserve">S27P0329-NVY</t>
  </si>
  <si>
    <t xml:space="preserve">S27P0329</t>
  </si>
  <si>
    <t xml:space="preserve">S27P0331-NVY</t>
  </si>
  <si>
    <t xml:space="preserve">S27P0331</t>
  </si>
  <si>
    <t xml:space="preserve">S27P0333-TAN</t>
  </si>
  <si>
    <t xml:space="preserve">S27P0333</t>
  </si>
  <si>
    <t xml:space="preserve">Parka</t>
  </si>
  <si>
    <t xml:space="preserve">S27P0334-TAN</t>
  </si>
  <si>
    <t xml:space="preserve">S27P0334</t>
  </si>
  <si>
    <t xml:space="preserve">S27P0335-CHC</t>
  </si>
  <si>
    <t xml:space="preserve">S27P0335</t>
  </si>
  <si>
    <t xml:space="preserve">S27P0337-PNK</t>
  </si>
  <si>
    <t xml:space="preserve">S27P0337</t>
  </si>
  <si>
    <t xml:space="preserve">S27P0338-OLV</t>
  </si>
  <si>
    <t xml:space="preserve">S27P0338</t>
  </si>
  <si>
    <t xml:space="preserve">S27P0338-TAN</t>
  </si>
  <si>
    <t xml:space="preserve">S27P0339-CHC</t>
  </si>
  <si>
    <t xml:space="preserve">S27P0339</t>
  </si>
  <si>
    <t xml:space="preserve">S27P0339-TAN</t>
  </si>
  <si>
    <t xml:space="preserve">S27P0339-GRN</t>
  </si>
  <si>
    <t xml:space="preserve">S27P0342-SKY</t>
  </si>
  <si>
    <t xml:space="preserve">S27P0342</t>
  </si>
  <si>
    <t xml:space="preserve">S27P0346-GRY</t>
  </si>
  <si>
    <t xml:space="preserve">S27P0346</t>
  </si>
  <si>
    <t xml:space="preserve">S27P0346-SKY</t>
  </si>
  <si>
    <t xml:space="preserve">S27P0349-ECR</t>
  </si>
  <si>
    <t xml:space="preserve">S27P0349</t>
  </si>
  <si>
    <t xml:space="preserve">S27P0352-ECR</t>
  </si>
  <si>
    <t xml:space="preserve">S27P0352</t>
  </si>
  <si>
    <t xml:space="preserve">S27P0354-TAN</t>
  </si>
  <si>
    <t xml:space="preserve">S27P0354</t>
  </si>
  <si>
    <t xml:space="preserve">S27P0356-SKY</t>
  </si>
  <si>
    <t xml:space="preserve">S27P0356</t>
  </si>
  <si>
    <t xml:space="preserve">S27P0358-PNK</t>
  </si>
  <si>
    <t xml:space="preserve">S27P0358</t>
  </si>
  <si>
    <t xml:space="preserve">S27P0358-BLK</t>
  </si>
  <si>
    <t xml:space="preserve">S27P0360-PNK</t>
  </si>
  <si>
    <t xml:space="preserve">S27P0360</t>
  </si>
  <si>
    <t xml:space="preserve">S27P0361-TRC</t>
  </si>
  <si>
    <t xml:space="preserve">S27P0361</t>
  </si>
  <si>
    <t xml:space="preserve">S27P0364-BRD</t>
  </si>
  <si>
    <t xml:space="preserve">S27P0364</t>
  </si>
  <si>
    <t xml:space="preserve">S27P0367-WHT</t>
  </si>
  <si>
    <t xml:space="preserve">S27P0367</t>
  </si>
  <si>
    <t xml:space="preserve">S27P0367-CHC</t>
  </si>
  <si>
    <t xml:space="preserve">S27P0367-BRD</t>
  </si>
  <si>
    <t xml:space="preserve">S27P0369-CHC</t>
  </si>
  <si>
    <t xml:space="preserve">S27P0369</t>
  </si>
  <si>
    <t xml:space="preserve">S27P0370-BLK</t>
  </si>
  <si>
    <t xml:space="preserve">S27P0370</t>
  </si>
  <si>
    <t xml:space="preserve">S27P0370-BRD</t>
  </si>
  <si>
    <t xml:space="preserve">S27P0371-TRC</t>
  </si>
  <si>
    <t xml:space="preserve">S27P0371</t>
  </si>
  <si>
    <t xml:space="preserve">S27P0374-TRC</t>
  </si>
  <si>
    <t xml:space="preserve">S27P0374</t>
  </si>
  <si>
    <t xml:space="preserve">S27P0376-BRD</t>
  </si>
  <si>
    <t xml:space="preserve">S27P0376</t>
  </si>
  <si>
    <t xml:space="preserve">S27P0376-CHC</t>
  </si>
  <si>
    <t xml:space="preserve">S27P0376-NVY</t>
  </si>
  <si>
    <t xml:space="preserve">S27P0379-BRD</t>
  </si>
  <si>
    <t xml:space="preserve">S27P0379</t>
  </si>
  <si>
    <t xml:space="preserve">Cardigan</t>
  </si>
  <si>
    <t xml:space="preserve">S27P0380-NVY</t>
  </si>
  <si>
    <t xml:space="preserve">S27P0380</t>
  </si>
  <si>
    <t xml:space="preserve">S27P0380-ECR</t>
  </si>
  <si>
    <t xml:space="preserve">S27P0382-ECR</t>
  </si>
  <si>
    <t xml:space="preserve">S27P0382</t>
  </si>
  <si>
    <t xml:space="preserve">S27P0382-NVY</t>
  </si>
  <si>
    <t xml:space="preserve">S27P0386-TRC</t>
  </si>
  <si>
    <t xml:space="preserve">S27P0386</t>
  </si>
  <si>
    <t xml:space="preserve">S27P0388-CHK</t>
  </si>
  <si>
    <t xml:space="preserve">S27P0388</t>
  </si>
  <si>
    <t xml:space="preserve">S27P0388-CML</t>
  </si>
  <si>
    <t xml:space="preserve">S27P0390-TRC</t>
  </si>
  <si>
    <t xml:space="preserve">S27P0390</t>
  </si>
  <si>
    <t xml:space="preserve">S27P0390-CML</t>
  </si>
  <si>
    <t xml:space="preserve">S27P0394-NVY</t>
  </si>
  <si>
    <t xml:space="preserve">S27P0394</t>
  </si>
  <si>
    <t xml:space="preserve">S27P0394-TAN</t>
  </si>
  <si>
    <t xml:space="preserve">S27P0398-TRC</t>
  </si>
  <si>
    <t xml:space="preserve">S27P0398</t>
  </si>
  <si>
    <t xml:space="preserve">S27P0399-TRC</t>
  </si>
  <si>
    <t xml:space="preserve">S27P0399</t>
  </si>
  <si>
    <t xml:space="preserve">S27P0399-PNK</t>
  </si>
  <si>
    <t xml:space="preserve">S27P0403-ECR</t>
  </si>
  <si>
    <t xml:space="preserve">S27P0403</t>
  </si>
  <si>
    <t xml:space="preserve">S27P0404-SKY</t>
  </si>
  <si>
    <t xml:space="preserve">S27P0404</t>
  </si>
  <si>
    <t xml:space="preserve">S27P0404-YLW</t>
  </si>
  <si>
    <t xml:space="preserve">S27P0405-TRC</t>
  </si>
  <si>
    <t xml:space="preserve">S27P0405</t>
  </si>
  <si>
    <t xml:space="preserve">S27P0405-PNK</t>
  </si>
  <si>
    <t xml:space="preserve">S27P0408-SKY</t>
  </si>
  <si>
    <t xml:space="preserve">S27P0408</t>
  </si>
  <si>
    <t xml:space="preserve">S27P0408-YLW</t>
  </si>
  <si>
    <t xml:space="preserve">S27P0408-CML</t>
  </si>
  <si>
    <t xml:space="preserve">S27P0412-YLW</t>
  </si>
  <si>
    <t xml:space="preserve">S27P0412</t>
  </si>
  <si>
    <t xml:space="preserve">S27P0412-GRN</t>
  </si>
  <si>
    <t xml:space="preserve">S27P0412-CML</t>
  </si>
  <si>
    <t xml:space="preserve">S27P0413-PNK</t>
  </si>
  <si>
    <t xml:space="preserve">S27P0413</t>
  </si>
  <si>
    <t xml:space="preserve">S27P0417-SKY</t>
  </si>
  <si>
    <t xml:space="preserve">S27P0417</t>
  </si>
  <si>
    <t xml:space="preserve">S27P0419-TAN</t>
  </si>
  <si>
    <t xml:space="preserve">S27P0419</t>
  </si>
  <si>
    <t xml:space="preserve">S27P0419-BRD</t>
  </si>
  <si>
    <t xml:space="preserve">S27P0423-SKY</t>
  </si>
  <si>
    <t xml:space="preserve">S27P0423</t>
  </si>
  <si>
    <t xml:space="preserve">S27P0427-TRC</t>
  </si>
  <si>
    <t xml:space="preserve">S27P0427</t>
  </si>
  <si>
    <t xml:space="preserve">S27P0427-WHT</t>
  </si>
  <si>
    <t xml:space="preserve">S27P0427-SKY</t>
  </si>
  <si>
    <t xml:space="preserve">S27P0429-GRN</t>
  </si>
  <si>
    <t xml:space="preserve">S27P0429</t>
  </si>
  <si>
    <t xml:space="preserve">S27P0431-GRN</t>
  </si>
  <si>
    <t xml:space="preserve">S27P0431</t>
  </si>
  <si>
    <t xml:space="preserve">S27P0435-GRN</t>
  </si>
  <si>
    <t xml:space="preserve">S27P0435</t>
  </si>
  <si>
    <t xml:space="preserve">S27P0439-WHT</t>
  </si>
  <si>
    <t xml:space="preserve">S27P0439</t>
  </si>
  <si>
    <t xml:space="preserve">S27P0443-OLV</t>
  </si>
  <si>
    <t xml:space="preserve">S27P0443</t>
  </si>
  <si>
    <t xml:space="preserve">S27P0446-ECR</t>
  </si>
  <si>
    <t xml:space="preserve">S27P0446</t>
  </si>
  <si>
    <t xml:space="preserve">S27P0448-CML</t>
  </si>
  <si>
    <t xml:space="preserve">S27P0448</t>
  </si>
  <si>
    <t xml:space="preserve">S27P0450-CML</t>
  </si>
  <si>
    <t xml:space="preserve">S27P0450</t>
  </si>
  <si>
    <t xml:space="preserve">S27P0450-GRY</t>
  </si>
  <si>
    <t xml:space="preserve">S27P0452-CML</t>
  </si>
  <si>
    <t xml:space="preserve">S27P0452</t>
  </si>
  <si>
    <t xml:space="preserve">S27P0456-CHK</t>
  </si>
  <si>
    <t xml:space="preserve">S27P0456</t>
  </si>
  <si>
    <t xml:space="preserve">S27P0459-BLK</t>
  </si>
  <si>
    <t xml:space="preserve">S27P0459</t>
  </si>
  <si>
    <t xml:space="preserve">S27P0462-PNK</t>
  </si>
  <si>
    <t xml:space="preserve">S27P0462</t>
  </si>
  <si>
    <t xml:space="preserve">S27P0464-TAN</t>
  </si>
  <si>
    <t xml:space="preserve">S27P0464</t>
  </si>
  <si>
    <t xml:space="preserve">S27P0465-TAN</t>
  </si>
  <si>
    <t xml:space="preserve">S27P0465</t>
  </si>
  <si>
    <t xml:space="preserve">S27P0468-WHT</t>
  </si>
  <si>
    <t xml:space="preserve">S27P0468</t>
  </si>
  <si>
    <t xml:space="preserve">S27P0469-ECR</t>
  </si>
  <si>
    <t xml:space="preserve">S27P0469</t>
  </si>
  <si>
    <t xml:space="preserve">S27P0471-TRC</t>
  </si>
  <si>
    <t xml:space="preserve">S27P0471</t>
  </si>
  <si>
    <t xml:space="preserve">S27P0472-ECR</t>
  </si>
  <si>
    <t xml:space="preserve">S27P0472</t>
  </si>
  <si>
    <t xml:space="preserve">S27P0472-BLK</t>
  </si>
  <si>
    <t xml:space="preserve">S27P0476-GRN</t>
  </si>
  <si>
    <t xml:space="preserve">S27P0476</t>
  </si>
  <si>
    <t xml:space="preserve">S27P0478-SKY</t>
  </si>
  <si>
    <t xml:space="preserve">S27P0478</t>
  </si>
  <si>
    <t xml:space="preserve">S27P0478-GRN</t>
  </si>
  <si>
    <t xml:space="preserve">S27P0481-GRN</t>
  </si>
  <si>
    <t xml:space="preserve">S27P0481</t>
  </si>
  <si>
    <t xml:space="preserve">S27P0481-SKY</t>
  </si>
  <si>
    <t xml:space="preserve">S27P0483-SKY</t>
  </si>
  <si>
    <t xml:space="preserve">S27P0483</t>
  </si>
  <si>
    <t xml:space="preserve">S27P0486-OLV</t>
  </si>
  <si>
    <t xml:space="preserve">S27P0486</t>
  </si>
  <si>
    <t xml:space="preserve">S27P0488-BRD</t>
  </si>
  <si>
    <t xml:space="preserve">S27P0488</t>
  </si>
  <si>
    <t xml:space="preserve">S27P0491-WHT</t>
  </si>
  <si>
    <t xml:space="preserve">S27P0491</t>
  </si>
  <si>
    <t xml:space="preserve">S27P0491-BRD</t>
  </si>
  <si>
    <t xml:space="preserve">S27P0493-BRD</t>
  </si>
  <si>
    <t xml:space="preserve">S27P0493</t>
  </si>
  <si>
    <t xml:space="preserve">S27P0493-WHT</t>
  </si>
  <si>
    <t xml:space="preserve">S27P0495-GRN</t>
  </si>
  <si>
    <t xml:space="preserve">S27P0495</t>
  </si>
  <si>
    <t xml:space="preserve">S27P0498-CHC</t>
  </si>
  <si>
    <t xml:space="preserve">S27P0498</t>
  </si>
  <si>
    <t xml:space="preserve">S27P0498-PNK</t>
  </si>
  <si>
    <t xml:space="preserve">S27P0500-CHC</t>
  </si>
  <si>
    <t xml:space="preserve">S27P0500</t>
  </si>
  <si>
    <t xml:space="preserve">S27P0503-BRD</t>
  </si>
  <si>
    <t xml:space="preserve">S27P0503</t>
  </si>
  <si>
    <t xml:space="preserve">S27P0503-TRC</t>
  </si>
  <si>
    <t xml:space="preserve">S27P0503-YLW</t>
  </si>
  <si>
    <t xml:space="preserve">S27P0506-YLW</t>
  </si>
  <si>
    <t xml:space="preserve">S27P0506</t>
  </si>
  <si>
    <t xml:space="preserve">S27P0506-TRC</t>
  </si>
  <si>
    <t xml:space="preserve">S27P0506-NVY</t>
  </si>
  <si>
    <t xml:space="preserve">S27P0507-TRC</t>
  </si>
  <si>
    <t xml:space="preserve">S27P0507</t>
  </si>
  <si>
    <t xml:space="preserve">S27P0507-NVY</t>
  </si>
  <si>
    <t xml:space="preserve">S27P0507-BRD</t>
  </si>
  <si>
    <t xml:space="preserve">S27P0510-WHT</t>
  </si>
  <si>
    <t xml:space="preserve">S27P0510</t>
  </si>
  <si>
    <t xml:space="preserve">S27P0513-CHC</t>
  </si>
  <si>
    <t xml:space="preserve">S27P0513</t>
  </si>
  <si>
    <t xml:space="preserve">S27P0515-CHC</t>
  </si>
  <si>
    <t xml:space="preserve">S27P0515</t>
  </si>
  <si>
    <t xml:space="preserve">S27P0515-PNK</t>
  </si>
  <si>
    <t xml:space="preserve">S27P0515-CHK</t>
  </si>
  <si>
    <t xml:space="preserve">S27P0519-CHK</t>
  </si>
  <si>
    <t xml:space="preserve">S27P0519</t>
  </si>
  <si>
    <t xml:space="preserve">S27P0519-WHT</t>
  </si>
  <si>
    <t xml:space="preserve">S27P0519-OLV</t>
  </si>
  <si>
    <t xml:space="preserve">S27P0523-PNK</t>
  </si>
  <si>
    <t xml:space="preserve">S27P0523</t>
  </si>
  <si>
    <t xml:space="preserve">S27P0526-YLW</t>
  </si>
  <si>
    <t xml:space="preserve">S27P0526</t>
  </si>
  <si>
    <t xml:space="preserve">S27P0530-YLW</t>
  </si>
  <si>
    <t xml:space="preserve">S27P0530</t>
  </si>
  <si>
    <t xml:space="preserve">S27P0530-TAN</t>
  </si>
  <si>
    <t xml:space="preserve">S27P0530-PNK</t>
  </si>
  <si>
    <t xml:space="preserve">S27P0533-WHT</t>
  </si>
  <si>
    <t xml:space="preserve">S27P0533</t>
  </si>
  <si>
    <t xml:space="preserve">S27S0535-WHT</t>
  </si>
  <si>
    <t xml:space="preserve">S27S0535</t>
  </si>
  <si>
    <t xml:space="preserve">S27S0539-CML</t>
  </si>
  <si>
    <t xml:space="preserve">S27S0539</t>
  </si>
  <si>
    <t xml:space="preserve">S27S0543-TAN</t>
  </si>
  <si>
    <t xml:space="preserve">S27S0543</t>
  </si>
  <si>
    <t xml:space="preserve">S27S0547-TRC</t>
  </si>
  <si>
    <t xml:space="preserve">S27S0547</t>
  </si>
  <si>
    <t xml:space="preserve">S27S0547-TAN</t>
  </si>
  <si>
    <t xml:space="preserve">S27S0548-TAN</t>
  </si>
  <si>
    <t xml:space="preserve">S27S0548</t>
  </si>
  <si>
    <t xml:space="preserve">S27S0551-GRN</t>
  </si>
  <si>
    <t xml:space="preserve">S27S0551</t>
  </si>
  <si>
    <t xml:space="preserve">S27S0551-ECR</t>
  </si>
  <si>
    <t xml:space="preserve">S27S0551-TRC</t>
  </si>
  <si>
    <t xml:space="preserve">S27S0554-ECR</t>
  </si>
  <si>
    <t xml:space="preserve">S27S0554</t>
  </si>
  <si>
    <t xml:space="preserve">S27S0554-PNK</t>
  </si>
  <si>
    <t xml:space="preserve">S27S0554-BLK</t>
  </si>
  <si>
    <t xml:space="preserve">S27S0558-OLV</t>
  </si>
  <si>
    <t xml:space="preserve">S27S0558</t>
  </si>
  <si>
    <t xml:space="preserve">S27S0561-OLV</t>
  </si>
  <si>
    <t xml:space="preserve">S27S0561</t>
  </si>
  <si>
    <t xml:space="preserve">S27S0562-OLV</t>
  </si>
  <si>
    <t xml:space="preserve">S27S0562</t>
  </si>
  <si>
    <t xml:space="preserve">S27S0565-CHC</t>
  </si>
  <si>
    <t xml:space="preserve">S27S0565</t>
  </si>
  <si>
    <t xml:space="preserve">S27S0565-GRN</t>
  </si>
  <si>
    <t xml:space="preserve">S27S0565-WHT</t>
  </si>
  <si>
    <t xml:space="preserve">S27S0566-ECR</t>
  </si>
  <si>
    <t xml:space="preserve">S27S0566</t>
  </si>
  <si>
    <t xml:space="preserve">S27S0568-CHC</t>
  </si>
  <si>
    <t xml:space="preserve">S27S0568</t>
  </si>
  <si>
    <t xml:space="preserve">S27S0568-WHT</t>
  </si>
  <si>
    <t xml:space="preserve">S27S0568-ECR</t>
  </si>
  <si>
    <t xml:space="preserve">S27S0572-CML</t>
  </si>
  <si>
    <t xml:space="preserve">S27S0572</t>
  </si>
  <si>
    <t xml:space="preserve">S27S0572-BLK</t>
  </si>
  <si>
    <t xml:space="preserve">S27S0574-TRC</t>
  </si>
  <si>
    <t xml:space="preserve">S27S0574</t>
  </si>
  <si>
    <t xml:space="preserve">S27S0574-CHK</t>
  </si>
  <si>
    <t xml:space="preserve">S27S0574-CML</t>
  </si>
  <si>
    <t xml:space="preserve">S27S0576-CHK</t>
  </si>
  <si>
    <t xml:space="preserve">S27S0576</t>
  </si>
  <si>
    <t xml:space="preserve">S27S0579-CHK</t>
  </si>
  <si>
    <t xml:space="preserve">S27S0579</t>
  </si>
  <si>
    <t xml:space="preserve">S27S0579-TRC</t>
  </si>
  <si>
    <t xml:space="preserve">S27S0579-CML</t>
  </si>
  <si>
    <t xml:space="preserve">S27S0580-CML</t>
  </si>
  <si>
    <t xml:space="preserve">S27S0580</t>
  </si>
  <si>
    <t xml:space="preserve">S27S0581-CML</t>
  </si>
  <si>
    <t xml:space="preserve">S27S0581</t>
  </si>
  <si>
    <t xml:space="preserve">S27S0581-WHT</t>
  </si>
  <si>
    <t xml:space="preserve">S27S0584-CHK</t>
  </si>
  <si>
    <t xml:space="preserve">S27S0584</t>
  </si>
  <si>
    <t xml:space="preserve">S27S0584-TRC</t>
  </si>
  <si>
    <t xml:space="preserve">S27S0587-CML</t>
  </si>
  <si>
    <t xml:space="preserve">S27S0587</t>
  </si>
  <si>
    <t xml:space="preserve">S27S0587-PNK</t>
  </si>
  <si>
    <t xml:space="preserve">S27S0591-PNK</t>
  </si>
  <si>
    <t xml:space="preserve">S27S0591</t>
  </si>
  <si>
    <t xml:space="preserve">S27S0591-CML</t>
  </si>
  <si>
    <t xml:space="preserve">S27S0595-GRY</t>
  </si>
  <si>
    <t xml:space="preserve">S27S0595</t>
  </si>
  <si>
    <t xml:space="preserve">S27S0596-GRY</t>
  </si>
  <si>
    <t xml:space="preserve">S27S0596</t>
  </si>
  <si>
    <t xml:space="preserve">S27S0597-CHC</t>
  </si>
  <si>
    <t xml:space="preserve">S27S0597</t>
  </si>
  <si>
    <t xml:space="preserve">S27S0597-WHT</t>
  </si>
  <si>
    <t xml:space="preserve">S27S0601-YLW</t>
  </si>
  <si>
    <t xml:space="preserve">S27S0601</t>
  </si>
  <si>
    <t xml:space="preserve">S27S0601-NVY</t>
  </si>
  <si>
    <t xml:space="preserve">S27S0601-CHC</t>
  </si>
  <si>
    <t xml:space="preserve">S27S0602-NVY</t>
  </si>
  <si>
    <t xml:space="preserve">S27S0602</t>
  </si>
  <si>
    <t xml:space="preserve">S27S0602-TAN</t>
  </si>
  <si>
    <t xml:space="preserve">S27S0603-CHK</t>
  </si>
  <si>
    <t xml:space="preserve">S27S0603</t>
  </si>
  <si>
    <t xml:space="preserve">S27S0603-TRC</t>
  </si>
  <si>
    <t xml:space="preserve">S27S0604-ECR</t>
  </si>
  <si>
    <t xml:space="preserve">S27S0604</t>
  </si>
  <si>
    <t xml:space="preserve">S27S0605-GRY</t>
  </si>
  <si>
    <t xml:space="preserve">S27S0605</t>
  </si>
  <si>
    <t xml:space="preserve">S27S0605-PNK</t>
  </si>
  <si>
    <t xml:space="preserve">S27S0605-OLV</t>
  </si>
  <si>
    <t xml:space="preserve">S27S0607-OLV</t>
  </si>
  <si>
    <t xml:space="preserve">S27S0607</t>
  </si>
  <si>
    <t xml:space="preserve">S27S0607-GRY</t>
  </si>
  <si>
    <t xml:space="preserve">S27S0607-ECR</t>
  </si>
  <si>
    <t xml:space="preserve">S27S0610-GRY</t>
  </si>
  <si>
    <t xml:space="preserve">S27S0610</t>
  </si>
  <si>
    <t xml:space="preserve">S27S0611-GRY</t>
  </si>
  <si>
    <t xml:space="preserve">S27S0611</t>
  </si>
  <si>
    <t xml:space="preserve">S27S0614-GRY</t>
  </si>
  <si>
    <t xml:space="preserve">S27S0614</t>
  </si>
  <si>
    <t xml:space="preserve">S27S0617-GRN</t>
  </si>
  <si>
    <t xml:space="preserve">S27S0617</t>
  </si>
  <si>
    <t xml:space="preserve">S27S0617-SKY</t>
  </si>
  <si>
    <t xml:space="preserve">S27S0619-GRY</t>
  </si>
  <si>
    <t xml:space="preserve">S27S0619</t>
  </si>
  <si>
    <t xml:space="preserve">S27S0623-TAN</t>
  </si>
  <si>
    <t xml:space="preserve">S27S0623</t>
  </si>
  <si>
    <t xml:space="preserve">S27S0624-TAN</t>
  </si>
  <si>
    <t xml:space="preserve">S27S0624</t>
  </si>
  <si>
    <t xml:space="preserve">S27S0626-CML</t>
  </si>
  <si>
    <t xml:space="preserve">S27S0626</t>
  </si>
  <si>
    <t xml:space="preserve">S27S0629-WHT</t>
  </si>
  <si>
    <t xml:space="preserve">S27S0629</t>
  </si>
  <si>
    <t xml:space="preserve">S27S0630-NVY</t>
  </si>
  <si>
    <t xml:space="preserve">S27S0630</t>
  </si>
  <si>
    <t xml:space="preserve">S27S0632-BLK</t>
  </si>
  <si>
    <t xml:space="preserve">S27S0632</t>
  </si>
  <si>
    <t xml:space="preserve">S27S0635-SKY</t>
  </si>
  <si>
    <t xml:space="preserve">S27S0635</t>
  </si>
  <si>
    <t xml:space="preserve">S27S0635-TAN</t>
  </si>
  <si>
    <t xml:space="preserve">S27S0638-GRN</t>
  </si>
  <si>
    <t xml:space="preserve">S27S0638</t>
  </si>
  <si>
    <t xml:space="preserve">S27S0639-GRN</t>
  </si>
  <si>
    <t xml:space="preserve">S27S0639</t>
  </si>
  <si>
    <t xml:space="preserve">S27S0643-TAN</t>
  </si>
  <si>
    <t xml:space="preserve">S27S0643</t>
  </si>
  <si>
    <t xml:space="preserve">S27S0643-CHK</t>
  </si>
  <si>
    <t xml:space="preserve">S27S0643-BLK</t>
  </si>
  <si>
    <t xml:space="preserve">S27S0645-GRY</t>
  </si>
  <si>
    <t xml:space="preserve">S27S0645</t>
  </si>
  <si>
    <t xml:space="preserve">S27S0645-TAN</t>
  </si>
  <si>
    <t xml:space="preserve">S27S0645-GRN</t>
  </si>
  <si>
    <t xml:space="preserve">S27S0649-OLV</t>
  </si>
  <si>
    <t xml:space="preserve">S27S0649</t>
  </si>
  <si>
    <t xml:space="preserve">S27S0652-OLV</t>
  </si>
  <si>
    <t xml:space="preserve">S27S0652</t>
  </si>
  <si>
    <t xml:space="preserve">S27S0652-CHK</t>
  </si>
  <si>
    <t xml:space="preserve">S27S0652-GRY</t>
  </si>
  <si>
    <t xml:space="preserve">S27S0653-GRY</t>
  </si>
  <si>
    <t xml:space="preserve">S27S0653</t>
  </si>
  <si>
    <t xml:space="preserve">S27S0654-GRY</t>
  </si>
  <si>
    <t xml:space="preserve">S27S0654</t>
  </si>
  <si>
    <t xml:space="preserve">S27S0656-TAN</t>
  </si>
  <si>
    <t xml:space="preserve">S27S0656</t>
  </si>
  <si>
    <t xml:space="preserve">S27S0660-TAN</t>
  </si>
  <si>
    <t xml:space="preserve">S27S0660</t>
  </si>
  <si>
    <t xml:space="preserve">S27S0663-TAN</t>
  </si>
  <si>
    <t xml:space="preserve">S27S0663</t>
  </si>
  <si>
    <t xml:space="preserve">S27S0665-NVY</t>
  </si>
  <si>
    <t xml:space="preserve">S27S0665</t>
  </si>
  <si>
    <t xml:space="preserve">S27S0666-CHK</t>
  </si>
  <si>
    <t xml:space="preserve">S27S0666</t>
  </si>
  <si>
    <t xml:space="preserve">S27S0668-CHK</t>
  </si>
  <si>
    <t xml:space="preserve">S27S0668</t>
  </si>
  <si>
    <t xml:space="preserve">S27S0668-SKY</t>
  </si>
  <si>
    <t xml:space="preserve">S27S0671-SKY</t>
  </si>
  <si>
    <t xml:space="preserve">S27S0671</t>
  </si>
  <si>
    <t xml:space="preserve">S27S0671-TAN</t>
  </si>
  <si>
    <t xml:space="preserve">S27S0674-GRN</t>
  </si>
  <si>
    <t xml:space="preserve">S27S0674</t>
  </si>
  <si>
    <t xml:space="preserve">S27S0677-BRD</t>
  </si>
  <si>
    <t xml:space="preserve">S27S0677</t>
  </si>
  <si>
    <t xml:space="preserve">S27S0677-TAN</t>
  </si>
  <si>
    <t xml:space="preserve">S27S0677-CHC</t>
  </si>
  <si>
    <t xml:space="preserve">S27S0678-TAN</t>
  </si>
  <si>
    <t xml:space="preserve">S27S0678</t>
  </si>
  <si>
    <t xml:space="preserve">S27S0678-OLV</t>
  </si>
  <si>
    <t xml:space="preserve">S27S0678-CHC</t>
  </si>
  <si>
    <t xml:space="preserve">S27S0682-CHK</t>
  </si>
  <si>
    <t xml:space="preserve">S27S0682</t>
  </si>
  <si>
    <t xml:space="preserve">S27S0683-CHK</t>
  </si>
  <si>
    <t xml:space="preserve">S27S0683</t>
  </si>
  <si>
    <t xml:space="preserve">S27S0683-SKY</t>
  </si>
  <si>
    <t xml:space="preserve">S27S0685-GRY</t>
  </si>
  <si>
    <t xml:space="preserve">S27S0685</t>
  </si>
  <si>
    <t xml:space="preserve">S27S0685-SKY</t>
  </si>
  <si>
    <t xml:space="preserve">S27S0685-WHT</t>
  </si>
  <si>
    <t xml:space="preserve">S27S0687-WHT</t>
  </si>
  <si>
    <t xml:space="preserve">S27S0687</t>
  </si>
  <si>
    <t xml:space="preserve">S27S0687-SKY</t>
  </si>
  <si>
    <t xml:space="preserve">S27S0687-CHC</t>
  </si>
  <si>
    <t xml:space="preserve">S27S0689-SKY</t>
  </si>
  <si>
    <t xml:space="preserve">S27S0689</t>
  </si>
  <si>
    <t xml:space="preserve">S27S0689-GRY</t>
  </si>
  <si>
    <t xml:space="preserve">S27S0690-SKY</t>
  </si>
  <si>
    <t xml:space="preserve">S27S0690</t>
  </si>
  <si>
    <t xml:space="preserve">S27S0690-GRY</t>
  </si>
  <si>
    <t xml:space="preserve">S27S0692-GRN</t>
  </si>
  <si>
    <t xml:space="preserve">S27S0692</t>
  </si>
  <si>
    <t xml:space="preserve">S27S0692-OLV</t>
  </si>
  <si>
    <t xml:space="preserve">S27S0692-YLW</t>
  </si>
  <si>
    <t xml:space="preserve">S27S0695-OLV</t>
  </si>
  <si>
    <t xml:space="preserve">S27S0695</t>
  </si>
  <si>
    <t xml:space="preserve">S27S0697-OLV</t>
  </si>
  <si>
    <t xml:space="preserve">S27S0697</t>
  </si>
  <si>
    <t xml:space="preserve">S27S0699-OLV</t>
  </si>
  <si>
    <t xml:space="preserve">S27S0699</t>
  </si>
  <si>
    <t xml:space="preserve">S27S0699-CML</t>
  </si>
  <si>
    <t xml:space="preserve">S27S0700-CML</t>
  </si>
  <si>
    <t xml:space="preserve">S27S0700</t>
  </si>
  <si>
    <t xml:space="preserve">S27S0700-OLV</t>
  </si>
  <si>
    <t xml:space="preserve">S27S0703-BRD</t>
  </si>
  <si>
    <t xml:space="preserve">S27S0703</t>
  </si>
  <si>
    <t xml:space="preserve">S27S0706-BRD</t>
  </si>
  <si>
    <t xml:space="preserve">S27S0706</t>
  </si>
  <si>
    <t xml:space="preserve">S27S0709-OLV</t>
  </si>
  <si>
    <t xml:space="preserve">S27S0709</t>
  </si>
  <si>
    <t xml:space="preserve">S27S0709-WHT</t>
  </si>
  <si>
    <t xml:space="preserve">S27S0713-BLK</t>
  </si>
  <si>
    <t xml:space="preserve">S27S0713</t>
  </si>
  <si>
    <t xml:space="preserve">S27S0713-YLW</t>
  </si>
  <si>
    <t xml:space="preserve">S27S0713-OLV</t>
  </si>
  <si>
    <t xml:space="preserve">S27S0716-CHK</t>
  </si>
  <si>
    <t xml:space="preserve">S27S0716</t>
  </si>
  <si>
    <t xml:space="preserve">S27S0717-CHK</t>
  </si>
  <si>
    <t xml:space="preserve">S27S0717</t>
  </si>
  <si>
    <t xml:space="preserve">S27S0721-CHK</t>
  </si>
  <si>
    <t xml:space="preserve">S27S0721</t>
  </si>
  <si>
    <t xml:space="preserve">S27S0723-BLK</t>
  </si>
  <si>
    <t xml:space="preserve">S27S0723</t>
  </si>
  <si>
    <t xml:space="preserve">S27S0727-BLK</t>
  </si>
  <si>
    <t xml:space="preserve">S27S0727</t>
  </si>
  <si>
    <t xml:space="preserve">S27S0730-SKY</t>
  </si>
  <si>
    <t xml:space="preserve">S27S0730</t>
  </si>
  <si>
    <t xml:space="preserve">S27S0732-BLK</t>
  </si>
  <si>
    <t xml:space="preserve">S27S0732</t>
  </si>
  <si>
    <t xml:space="preserve">S27S0735-BRD</t>
  </si>
  <si>
    <t xml:space="preserve">S27S0735</t>
  </si>
  <si>
    <t xml:space="preserve">S27S0738-OLV</t>
  </si>
  <si>
    <t xml:space="preserve">S27S0738</t>
  </si>
  <si>
    <t xml:space="preserve">S27S0739-CHC</t>
  </si>
  <si>
    <t xml:space="preserve">S27S0739</t>
  </si>
  <si>
    <t xml:space="preserve">S27S0740-CHC</t>
  </si>
  <si>
    <t xml:space="preserve">S27S0740</t>
  </si>
  <si>
    <t xml:space="preserve">S27S0740-PNK</t>
  </si>
  <si>
    <t xml:space="preserve">S27S0742-BRD</t>
  </si>
  <si>
    <t xml:space="preserve">S27S0742</t>
  </si>
  <si>
    <t xml:space="preserve">S27S0742-WHT</t>
  </si>
  <si>
    <t xml:space="preserve">S27S0746-BRD</t>
  </si>
  <si>
    <t xml:space="preserve">S27S0746</t>
  </si>
  <si>
    <t xml:space="preserve">S27S0746-WHT</t>
  </si>
  <si>
    <t xml:space="preserve">S27S0747-WHT</t>
  </si>
  <si>
    <t xml:space="preserve">S27S0747</t>
  </si>
  <si>
    <t xml:space="preserve">S27S0750-ECR</t>
  </si>
  <si>
    <t xml:space="preserve">S27S0750</t>
  </si>
  <si>
    <t xml:space="preserve">S27S0750-CML</t>
  </si>
  <si>
    <t xml:space="preserve">S27S0754-GRY</t>
  </si>
  <si>
    <t xml:space="preserve">S27S0754</t>
  </si>
  <si>
    <t xml:space="preserve">S27S0754-CML</t>
  </si>
  <si>
    <t xml:space="preserve">S27S0758-CML</t>
  </si>
  <si>
    <t xml:space="preserve">S27S0758</t>
  </si>
  <si>
    <t xml:space="preserve">S27S0758-GRY</t>
  </si>
  <si>
    <t xml:space="preserve">S27S0762-TAN</t>
  </si>
  <si>
    <t xml:space="preserve">S27S0762</t>
  </si>
  <si>
    <t xml:space="preserve">S27S0766-TRC</t>
  </si>
  <si>
    <t xml:space="preserve">S27S0766</t>
  </si>
  <si>
    <t xml:space="preserve">S27S0766-OLV</t>
  </si>
  <si>
    <t xml:space="preserve">S27S0766-YLW</t>
  </si>
  <si>
    <t xml:space="preserve">S27S0770-OLV</t>
  </si>
  <si>
    <t xml:space="preserve">S27S0770</t>
  </si>
  <si>
    <t xml:space="preserve">S27S0770-TRC</t>
  </si>
  <si>
    <t xml:space="preserve">S27S0773-CHC</t>
  </si>
  <si>
    <t xml:space="preserve">S27S0773</t>
  </si>
  <si>
    <t xml:space="preserve">S27S0773-WHT</t>
  </si>
  <si>
    <t xml:space="preserve">S27S0776-BLK</t>
  </si>
  <si>
    <t xml:space="preserve">S27S0776</t>
  </si>
  <si>
    <t xml:space="preserve">S27S0778-NVY</t>
  </si>
  <si>
    <t xml:space="preserve">S27S0778</t>
  </si>
  <si>
    <t xml:space="preserve">S27S0780-NVY</t>
  </si>
  <si>
    <t xml:space="preserve">S27S0780</t>
  </si>
  <si>
    <t xml:space="preserve">S27S0783-TAN</t>
  </si>
  <si>
    <t xml:space="preserve">S27S0783</t>
  </si>
  <si>
    <t xml:space="preserve">S27S0783-NVY</t>
  </si>
  <si>
    <t xml:space="preserve">S27S0786-NVY</t>
  </si>
  <si>
    <t xml:space="preserve">S27S0786</t>
  </si>
  <si>
    <t xml:space="preserve">S27S0788-TAN</t>
  </si>
  <si>
    <t xml:space="preserve">S27S0788</t>
  </si>
  <si>
    <t xml:space="preserve">S27S0788-NVY</t>
  </si>
  <si>
    <t xml:space="preserve">S27S0792-CHK</t>
  </si>
  <si>
    <t xml:space="preserve">S27S0792</t>
  </si>
  <si>
    <t xml:space="preserve">S27S0796-GRN</t>
  </si>
  <si>
    <t xml:space="preserve">S27S0796</t>
  </si>
  <si>
    <t xml:space="preserve">S27S0797-GRN</t>
  </si>
  <si>
    <t xml:space="preserve">S27S0797</t>
  </si>
  <si>
    <t xml:space="preserve">S27S0798-GRY</t>
  </si>
  <si>
    <t xml:space="preserve">S27S0798</t>
  </si>
  <si>
    <t xml:space="preserve">S27S0799-BRD</t>
  </si>
  <si>
    <t xml:space="preserve">S27S0799</t>
  </si>
  <si>
    <t xml:space="preserve">S27S0803-NVY</t>
  </si>
  <si>
    <t xml:space="preserve">S27S0803</t>
  </si>
  <si>
    <t xml:space="preserve">S27S0803-YLW</t>
  </si>
  <si>
    <t xml:space="preserve">S27S0803-CHC</t>
  </si>
  <si>
    <t xml:space="preserve">S27S0806-CHC</t>
  </si>
  <si>
    <t xml:space="preserve">S27S0806</t>
  </si>
  <si>
    <t xml:space="preserve">S27S0810-WHT</t>
  </si>
  <si>
    <t xml:space="preserve">S27S0810</t>
  </si>
  <si>
    <t xml:space="preserve">S27S0810-OLV</t>
  </si>
  <si>
    <t xml:space="preserve">S27S0813-WHT</t>
  </si>
  <si>
    <t xml:space="preserve">S27S0813</t>
  </si>
  <si>
    <t xml:space="preserve">S27S0813-OLV</t>
  </si>
  <si>
    <t xml:space="preserve">S27S0814-OLV</t>
  </si>
  <si>
    <t xml:space="preserve">S27S0814</t>
  </si>
  <si>
    <t xml:space="preserve">S27S0814-WHT</t>
  </si>
  <si>
    <t xml:space="preserve">S27S0818-TAN</t>
  </si>
  <si>
    <t xml:space="preserve">S27S0818</t>
  </si>
  <si>
    <t xml:space="preserve">S27S0818-PNK</t>
  </si>
  <si>
    <t xml:space="preserve">S27S0822-TAN</t>
  </si>
  <si>
    <t xml:space="preserve">S27S0822</t>
  </si>
  <si>
    <t xml:space="preserve">S27S0822-PNK</t>
  </si>
  <si>
    <t xml:space="preserve">S27S0824-TAN</t>
  </si>
  <si>
    <t xml:space="preserve">S27S0824</t>
  </si>
  <si>
    <t xml:space="preserve">S27S0824-PNK</t>
  </si>
  <si>
    <t xml:space="preserve">S27S0825-PNK</t>
  </si>
  <si>
    <t xml:space="preserve">S27S0825</t>
  </si>
  <si>
    <t xml:space="preserve">S27S0825-CHK</t>
  </si>
  <si>
    <t xml:space="preserve">S27S0828-CHC</t>
  </si>
  <si>
    <t xml:space="preserve">S27S0828</t>
  </si>
  <si>
    <t xml:space="preserve">S27S0828-NVY</t>
  </si>
  <si>
    <t xml:space="preserve">S27S0828-OLV</t>
  </si>
  <si>
    <t xml:space="preserve">S27S0830-CHC</t>
  </si>
  <si>
    <t xml:space="preserve">S27S0830</t>
  </si>
  <si>
    <t xml:space="preserve">S27S0834-BLK</t>
  </si>
  <si>
    <t xml:space="preserve">S27S0834</t>
  </si>
  <si>
    <t xml:space="preserve">S27S0838-NVY</t>
  </si>
  <si>
    <t xml:space="preserve">S27S0838</t>
  </si>
  <si>
    <t xml:space="preserve">S27S0839-NVY</t>
  </si>
  <si>
    <t xml:space="preserve">S27S0839</t>
  </si>
  <si>
    <t xml:space="preserve">S27S0841-NVY</t>
  </si>
  <si>
    <t xml:space="preserve">S27S0841</t>
  </si>
  <si>
    <t xml:space="preserve">S27S0842-NVY</t>
  </si>
  <si>
    <t xml:space="preserve">S27S0842</t>
  </si>
  <si>
    <t xml:space="preserve">S27S0845-ECR</t>
  </si>
  <si>
    <t xml:space="preserve">S27S0845</t>
  </si>
  <si>
    <t xml:space="preserve">S27S0848-ECR</t>
  </si>
  <si>
    <t xml:space="preserve">S27S0848</t>
  </si>
  <si>
    <t xml:space="preserve">S27S0852-TRC</t>
  </si>
  <si>
    <t xml:space="preserve">S27S0852</t>
  </si>
  <si>
    <t xml:space="preserve">S27S0853-SKY</t>
  </si>
  <si>
    <t xml:space="preserve">S27S0853</t>
  </si>
  <si>
    <t xml:space="preserve">S27S0853-TRC</t>
  </si>
  <si>
    <t xml:space="preserve">S27S0857-TRC</t>
  </si>
  <si>
    <t xml:space="preserve">S27S0857</t>
  </si>
  <si>
    <t xml:space="preserve">S27S0859-TRC</t>
  </si>
  <si>
    <t xml:space="preserve">S27S0859</t>
  </si>
  <si>
    <t xml:space="preserve">S27S0862-OLV</t>
  </si>
  <si>
    <t xml:space="preserve">S27S0862</t>
  </si>
  <si>
    <t xml:space="preserve">S27S0862-PNK</t>
  </si>
  <si>
    <t xml:space="preserve">S27S0864-OLV</t>
  </si>
  <si>
    <t xml:space="preserve">S27S0864</t>
  </si>
  <si>
    <t xml:space="preserve">S27S0866-PNK</t>
  </si>
  <si>
    <t xml:space="preserve">S27S0866</t>
  </si>
  <si>
    <t xml:space="preserve">S27S0867-CHC</t>
  </si>
  <si>
    <t xml:space="preserve">S27S0867</t>
  </si>
  <si>
    <t xml:space="preserve">S27S0871-NVY</t>
  </si>
  <si>
    <t xml:space="preserve">S27S0871</t>
  </si>
  <si>
    <t xml:space="preserve">S27S0871-YLW</t>
  </si>
  <si>
    <t xml:space="preserve">S27S0871-CHC</t>
  </si>
  <si>
    <t xml:space="preserve">S27S0872-CML</t>
  </si>
  <si>
    <t xml:space="preserve">S27S0872</t>
  </si>
  <si>
    <t xml:space="preserve">S27S0875-BRD</t>
  </si>
  <si>
    <t xml:space="preserve">S27S0875</t>
  </si>
  <si>
    <t xml:space="preserve">S27S0875-SKY</t>
  </si>
  <si>
    <t xml:space="preserve">S27S0879-NVY</t>
  </si>
  <si>
    <t xml:space="preserve">S27S0879</t>
  </si>
  <si>
    <t xml:space="preserve">S27S0879-GRN</t>
  </si>
  <si>
    <t xml:space="preserve">S27S0882-WHT</t>
  </si>
  <si>
    <t xml:space="preserve">S27S0882</t>
  </si>
  <si>
    <t xml:space="preserve">S27S0886-ECR</t>
  </si>
  <si>
    <t xml:space="preserve">S27S0886</t>
  </si>
  <si>
    <t xml:space="preserve">S27S0890-BLK</t>
  </si>
  <si>
    <t xml:space="preserve">S27S0890</t>
  </si>
  <si>
    <t xml:space="preserve">S27S0894-GRY</t>
  </si>
  <si>
    <t xml:space="preserve">S27S0894</t>
  </si>
  <si>
    <t xml:space="preserve">S27S0894-CML</t>
  </si>
  <si>
    <t xml:space="preserve">S27S0895-BRD</t>
  </si>
  <si>
    <t xml:space="preserve">S27S0895</t>
  </si>
  <si>
    <t xml:space="preserve">S27S0895-ECR</t>
  </si>
  <si>
    <t xml:space="preserve">S27S0895-GRY</t>
  </si>
  <si>
    <t xml:space="preserve">S27S0898-PNK</t>
  </si>
  <si>
    <t xml:space="preserve">S27S0898</t>
  </si>
  <si>
    <t xml:space="preserve">S27S0898-BRD</t>
  </si>
  <si>
    <t xml:space="preserve">S27S0901-CHK</t>
  </si>
  <si>
    <t xml:space="preserve">S27S0901</t>
  </si>
  <si>
    <t xml:space="preserve">S27S0904-CHK</t>
  </si>
  <si>
    <t xml:space="preserve">S27S0904</t>
  </si>
  <si>
    <t xml:space="preserve">S27S0905-TRC</t>
  </si>
  <si>
    <t xml:space="preserve">S27S0905</t>
  </si>
  <si>
    <t xml:space="preserve">S27S0905-WHT</t>
  </si>
  <si>
    <t xml:space="preserve">S27S0906-WHT</t>
  </si>
  <si>
    <t xml:space="preserve">S27S0906</t>
  </si>
  <si>
    <t xml:space="preserve">S27S0906-TRC</t>
  </si>
  <si>
    <t xml:space="preserve">S27S0910-WHT</t>
  </si>
  <si>
    <t xml:space="preserve">S27S0910</t>
  </si>
  <si>
    <t xml:space="preserve">S27S0910-TRC</t>
  </si>
  <si>
    <t xml:space="preserve">S27S0912-CHC</t>
  </si>
  <si>
    <t xml:space="preserve">S27S0912</t>
  </si>
  <si>
    <t xml:space="preserve">S27S0913-CHC</t>
  </si>
  <si>
    <t xml:space="preserve">S27S0913</t>
  </si>
  <si>
    <t xml:space="preserve">S27S0915-SKY</t>
  </si>
  <si>
    <t xml:space="preserve">S27S0915</t>
  </si>
  <si>
    <t xml:space="preserve">S27S0918-TAN</t>
  </si>
  <si>
    <t xml:space="preserve">S27S0918</t>
  </si>
  <si>
    <t xml:space="preserve">S27S0918-SKY</t>
  </si>
  <si>
    <t xml:space="preserve">S27S0922-TAN</t>
  </si>
  <si>
    <t xml:space="preserve">S27S0922</t>
  </si>
  <si>
    <t xml:space="preserve">S27S0926-TRC</t>
  </si>
  <si>
    <t xml:space="preserve">S27S0926</t>
  </si>
  <si>
    <t xml:space="preserve">S27S0926-GRN</t>
  </si>
  <si>
    <t xml:space="preserve">S27S0926-TAN</t>
  </si>
  <si>
    <t xml:space="preserve">S27S0929-YLW</t>
  </si>
  <si>
    <t xml:space="preserve">S27S0929</t>
  </si>
  <si>
    <t xml:space="preserve">S27S0929-TRC</t>
  </si>
  <si>
    <t xml:space="preserve">S27S0929-GRN</t>
  </si>
  <si>
    <t xml:space="preserve">Summary (formulas, updates if you edit the data)</t>
  </si>
  <si>
    <t xml:space="preserve">1. Missing data per field</t>
  </si>
  <si>
    <t xml:space="preserve">Field</t>
  </si>
  <si>
    <t xml:space="preserve">Empty</t>
  </si>
  <si>
    <t xml:space="preserve">TBD / n/a</t>
  </si>
  <si>
    <t xml:space="preserve">Total missing</t>
  </si>
  <si>
    <t xml:space="preserve">% missing</t>
  </si>
  <si>
    <t xml:space="preserve">Materials in export</t>
  </si>
  <si>
    <t xml:space="preserve">2. SKUs per development stage</t>
  </si>
  <si>
    <t xml:space="preserve">Stage</t>
  </si>
  <si>
    <t xml:space="preserve">Total</t>
  </si>
  <si>
    <t xml:space="preserve">Total SKUs</t>
  </si>
  <si>
    <t xml:space="preserve">3. Colours ordered per fabric</t>
  </si>
  <si>
    <t xml:space="preserve">Colours ordered</t>
  </si>
  <si>
    <t xml:space="preserve">Materials</t>
  </si>
  <si>
    <t xml:space="preserve">% of materials</t>
  </si>
  <si>
    <t xml:space="preserve">0</t>
  </si>
  <si>
    <t xml:space="preserve">1</t>
  </si>
  <si>
    <t xml:space="preserve">2</t>
  </si>
  <si>
    <t xml:space="preserve">3–4</t>
  </si>
  <si>
    <t xml:space="preserve">5 or more</t>
  </si>
  <si>
    <t xml:space="preserve">Avg colours ordered per material</t>
  </si>
  <si>
    <t xml:space="preserve">Counts colours with status "Ordered" (column "Colours ordered (calc)" on the Materials sheet).</t>
  </si>
  <si>
    <t xml:space="preserve">SAMPLE PLM DATA – INVENTED</t>
  </si>
  <si>
    <t xml:space="preserve">What this is</t>
  </si>
  <si>
    <t xml:space="preserve">Fake data shaped like a PLM material export, for testing the prototypes. Every supplier, code, price and quantity is invented. Nothing comes from Loewe systems.</t>
  </si>
  <si>
    <t xml:space="preserve">220 materials across FW26, Pre-SS27 and SS27. Some fields are left empty, "TBD" or "n/a" on purpose (most often Price, Lead time, Certification and MOQ). Empty cells are highlighted in pink. Keep this as the first sheet: PLM Data Health reads the first sheet of the file.</t>
  </si>
  <si>
    <t xml:space="preserve">Colours</t>
  </si>
  <si>
    <t xml:space="preserve">741 colour lines linked to materials by Material code. Status is Ordered, Lab dip or Cancelled; quantity only for Ordered colours.</t>
  </si>
  <si>
    <t xml:space="preserve">Styles &amp; SKUs</t>
  </si>
  <si>
    <t xml:space="preserve">500 SKUs (style + colour) with their development stage (Edit, Fitting 1, Fitting 2, Fitting 3, Dropped), linked to the main material and colour codes.</t>
  </si>
  <si>
    <t xml:space="preserve">Summary</t>
  </si>
  <si>
    <t xml:space="preserve">Formulas that recalculate: % missing per field, SKUs per stage and collection, and colours ordered per fabric.</t>
  </si>
  <si>
    <t xml:space="preserve">Composition codes</t>
  </si>
  <si>
    <t xml:space="preserve">Textile codes as used on labels: WV wool, WM mohair, WS cashmere, WO wool, CO cotton, SE silk, CV viscose, LI linen, PA polyamide, PES polyester, EA elastane, PU polyurethane.</t>
  </si>
  <si>
    <t xml:space="preserve">How to use it</t>
  </si>
  <si>
    <t xml:space="preserve">Open PLM Data Health, click "Load PLM export" and pick this file. Comments is often empty on purpose, so the tool skips it by default (turn it back on under "Columns checked").</t>
  </si>
</sst>
</file>

<file path=xl/styles.xml><?xml version="1.0" encoding="utf-8"?>
<styleSheet xmlns="http://schemas.openxmlformats.org/spreadsheetml/2006/main">
  <numFmts count="6">
    <numFmt numFmtId="164" formatCode="General"/>
    <numFmt numFmtId="165" formatCode="#,##0.00"/>
    <numFmt numFmtId="166" formatCode="dd/mm/yyyy"/>
    <numFmt numFmtId="167" formatCode="#,##0"/>
    <numFmt numFmtId="168" formatCode="0.0%"/>
    <numFmt numFmtId="169" formatCode="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1"/>
      <name val="Arial"/>
      <family val="0"/>
      <charset val="1"/>
    </font>
    <font>
      <b val="true"/>
      <sz val="10"/>
      <name val="Arial"/>
      <family val="0"/>
      <charset val="1"/>
    </font>
    <font>
      <i val="true"/>
      <sz val="9"/>
      <color rgb="FF666666"/>
      <name val="Arial"/>
      <family val="0"/>
      <charset val="1"/>
    </font>
  </fonts>
  <fills count="4">
    <fill>
      <patternFill patternType="none"/>
    </fill>
    <fill>
      <patternFill patternType="gray125"/>
    </fill>
    <fill>
      <patternFill patternType="solid">
        <fgColor rgb="FF3B3127"/>
        <bgColor rgb="FF333300"/>
      </patternFill>
    </fill>
    <fill>
      <patternFill patternType="solid">
        <fgColor rgb="FF6B5B4B"/>
        <bgColor rgb="FF6666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B3127"/>
          <bgColor rgb="FF000000"/>
        </patternFill>
      </fill>
    </dxf>
    <dxf>
      <fill>
        <patternFill patternType="solid">
          <bgColor rgb="FF000000"/>
        </patternFill>
      </fill>
    </dxf>
    <dxf>
      <fill>
        <patternFill patternType="solid">
          <fgColor rgb="FFFFFFFF"/>
          <bgColor rgb="FF000000"/>
        </patternFill>
      </fill>
    </dxf>
    <dxf>
      <fill>
        <patternFill patternType="solid">
          <fgColor rgb="FFF6DCD7"/>
          <bgColor rgb="FF000000"/>
        </patternFill>
      </fill>
    </dxf>
    <dxf>
      <fill>
        <patternFill patternType="solid">
          <fgColor rgb="FF6B5B4B"/>
          <bgColor rgb="FF000000"/>
        </patternFill>
      </fill>
    </dxf>
    <dxf>
      <fill>
        <patternFill>
          <bgColor rgb="FFF6DCD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5B4B"/>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DCD7"/>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B312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Colours" displayName="Colours" ref="A1:G742" headerRowCount="1" totalsRowCount="0" totalsRowShown="0">
  <autoFilter ref="A1:G742"/>
  <tableColumns count="7">
    <tableColumn id="1" name="Material code"/>
    <tableColumn id="2" name="Colour code"/>
    <tableColumn id="3" name="Colour name"/>
    <tableColumn id="4" name="Colour status"/>
    <tableColumn id="5" name="Qty ordered"/>
    <tableColumn id="6" name="Unit"/>
    <tableColumn id="7" name="Order date"/>
  </tableColumns>
</table>
</file>

<file path=xl/tables/table2.xml><?xml version="1.0" encoding="utf-8"?>
<table xmlns="http://schemas.openxmlformats.org/spreadsheetml/2006/main" id="2" name="Materials" displayName="Materials" ref="A1:V221" headerRowCount="1" totalsRowCount="0" totalsRowShown="0">
  <autoFilter ref="A1:V221"/>
  <tableColumns count="22">
    <tableColumn id="1" name="Material code"/>
    <tableColumn id="2" name="Description"/>
    <tableColumn id="3" name="Collection"/>
    <tableColumn id="4" name="Supplier"/>
    <tableColumn id="5" name="Supplier code"/>
    <tableColumn id="6" name="Category"/>
    <tableColumn id="7" name="Composition"/>
    <tableColumn id="8" name="Weight"/>
    <tableColumn id="9" name="Width / skin size"/>
    <tableColumn id="10" name="Price"/>
    <tableColumn id="11" name="Currency"/>
    <tableColumn id="12" name="Price unit"/>
    <tableColumn id="13" name="MOQ"/>
    <tableColumn id="14" name="Lead time (wks)"/>
    <tableColumn id="15" name="Country of origin"/>
    <tableColumn id="16" name="Certification"/>
    <tableColumn id="17" name="Status"/>
    <tableColumn id="18" name="Created by"/>
    <tableColumn id="19" name="Created on"/>
    <tableColumn id="20" name="Last modified"/>
    <tableColumn id="21" name="Comments"/>
    <tableColumn id="22" name="Colours ordered (calc)"/>
  </tableColumns>
</table>
</file>

<file path=xl/tables/table3.xml><?xml version="1.0" encoding="utf-8"?>
<table xmlns="http://schemas.openxmlformats.org/spreadsheetml/2006/main" id="3" name="SKUs" displayName="SKUs" ref="A1:I501" headerRowCount="1" totalsRowCount="0" totalsRowShown="0">
  <autoFilter ref="A1:I501"/>
  <tableColumns count="9">
    <tableColumn id="1" name="SKU"/>
    <tableColumn id="2" name="Style code"/>
    <tableColumn id="3" name="Style name"/>
    <tableColumn id="4" name="Gender"/>
    <tableColumn id="5" name="Collection"/>
    <tableColumn id="6" name="Development stage"/>
    <tableColumn id="7" name="Main material code"/>
    <tableColumn id="8" name="Colour code"/>
    <tableColumn id="9" name="Colour na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10"/>
    <col collapsed="false" customWidth="true" hidden="false" outlineLevel="0" max="4" min="4" style="0" width="24"/>
    <col collapsed="false" customWidth="true" hidden="false" outlineLevel="0" max="5" min="5" style="0" width="12"/>
    <col collapsed="false" customWidth="true" hidden="false" outlineLevel="0" max="6" min="6" style="0" width="11"/>
    <col collapsed="false" customWidth="true" hidden="false" outlineLevel="0" max="7" min="7" style="0" width="24"/>
    <col collapsed="false" customWidth="true" hidden="false" outlineLevel="0" max="8" min="8" style="0" width="11"/>
    <col collapsed="false" customWidth="true" hidden="false" outlineLevel="0" max="9" min="9" style="0" width="14"/>
    <col collapsed="false" customWidth="true" hidden="false" outlineLevel="0" max="12" min="10" style="0" width="9"/>
    <col collapsed="false" customWidth="true" hidden="false" outlineLevel="0" max="13" min="13" style="0" width="8"/>
    <col collapsed="false" customWidth="true" hidden="false" outlineLevel="0" max="14" min="14" style="0" width="10"/>
    <col collapsed="false" customWidth="true" hidden="false" outlineLevel="0" max="16" min="15" style="0" width="13"/>
    <col collapsed="false" customWidth="true" hidden="false" outlineLevel="0" max="17" min="17" style="0" width="14"/>
    <col collapsed="false" customWidth="true" hidden="false" outlineLevel="0" max="20" min="18" style="0" width="12"/>
    <col collapsed="false" customWidth="true" hidden="false" outlineLevel="0" max="21" min="21" style="0" width="30"/>
    <col collapsed="false" customWidth="true" hidden="false" outlineLevel="0" max="22" min="22"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customFormat="false" ht="15" hidden="false" customHeight="false" outlineLevel="0" collapsed="false">
      <c r="A2" s="3" t="s">
        <v>22</v>
      </c>
      <c r="B2" s="3" t="s">
        <v>23</v>
      </c>
      <c r="C2" s="3" t="s">
        <v>24</v>
      </c>
      <c r="D2" s="3" t="s">
        <v>25</v>
      </c>
      <c r="E2" s="3" t="s">
        <v>26</v>
      </c>
      <c r="F2" s="3" t="s">
        <v>27</v>
      </c>
      <c r="G2" s="3" t="s">
        <v>28</v>
      </c>
      <c r="H2" s="3" t="s">
        <v>29</v>
      </c>
      <c r="I2" s="3" t="s">
        <v>30</v>
      </c>
      <c r="J2" s="4" t="n">
        <v>86.5</v>
      </c>
      <c r="K2" s="3" t="s">
        <v>31</v>
      </c>
      <c r="L2" s="3" t="s">
        <v>32</v>
      </c>
      <c r="M2" s="3" t="n">
        <v>300</v>
      </c>
      <c r="N2" s="3" t="n">
        <v>3</v>
      </c>
      <c r="O2" s="3" t="s">
        <v>33</v>
      </c>
      <c r="P2" s="3" t="s">
        <v>34</v>
      </c>
      <c r="Q2" s="3" t="s">
        <v>35</v>
      </c>
      <c r="R2" s="3" t="s">
        <v>36</v>
      </c>
      <c r="S2" s="5" t="n">
        <v>45978</v>
      </c>
      <c r="T2" s="5" t="n">
        <v>46047</v>
      </c>
      <c r="U2" s="3" t="s">
        <v>37</v>
      </c>
      <c r="V2" s="3" t="n">
        <f aca="false">COUNTIFS(Colours!$A$2:$A$742,$A2,Colours!$D$2:$D$742,"Ordered")</f>
        <v>0</v>
      </c>
    </row>
    <row r="3" customFormat="false" ht="15" hidden="false" customHeight="false" outlineLevel="0" collapsed="false">
      <c r="A3" s="3" t="s">
        <v>38</v>
      </c>
      <c r="B3" s="3" t="s">
        <v>39</v>
      </c>
      <c r="C3" s="3" t="s">
        <v>24</v>
      </c>
      <c r="D3" s="3" t="s">
        <v>40</v>
      </c>
      <c r="E3" s="3" t="s">
        <v>41</v>
      </c>
      <c r="F3" s="3" t="s">
        <v>42</v>
      </c>
      <c r="G3" s="3" t="s">
        <v>43</v>
      </c>
      <c r="H3" s="3" t="s">
        <v>44</v>
      </c>
      <c r="I3" s="3" t="s">
        <v>45</v>
      </c>
      <c r="J3" s="4" t="n">
        <v>42.1</v>
      </c>
      <c r="K3" s="3" t="s">
        <v>31</v>
      </c>
      <c r="L3" s="3" t="s">
        <v>32</v>
      </c>
      <c r="M3" s="3" t="n">
        <v>20</v>
      </c>
      <c r="N3" s="3" t="n">
        <v>11</v>
      </c>
      <c r="O3" s="3" t="s">
        <v>46</v>
      </c>
      <c r="P3" s="3" t="s">
        <v>47</v>
      </c>
      <c r="Q3" s="3" t="s">
        <v>48</v>
      </c>
      <c r="R3" s="3" t="s">
        <v>49</v>
      </c>
      <c r="S3" s="5" t="n">
        <v>45993</v>
      </c>
      <c r="T3" s="5" t="n">
        <v>46071</v>
      </c>
      <c r="U3" s="3"/>
      <c r="V3" s="3" t="n">
        <f aca="false">COUNTIFS(Colours!$A$2:$A$742,$A3,Colours!$D$2:$D$742,"Ordered")</f>
        <v>1</v>
      </c>
    </row>
    <row r="4" customFormat="false" ht="15" hidden="false" customHeight="false" outlineLevel="0" collapsed="false">
      <c r="A4" s="3" t="s">
        <v>50</v>
      </c>
      <c r="B4" s="3" t="s">
        <v>51</v>
      </c>
      <c r="C4" s="3" t="s">
        <v>24</v>
      </c>
      <c r="D4" s="3" t="s">
        <v>52</v>
      </c>
      <c r="E4" s="3" t="s">
        <v>53</v>
      </c>
      <c r="F4" s="3" t="s">
        <v>54</v>
      </c>
      <c r="G4" s="3" t="s">
        <v>55</v>
      </c>
      <c r="H4" s="3" t="s">
        <v>56</v>
      </c>
      <c r="I4" s="3" t="s">
        <v>45</v>
      </c>
      <c r="J4" s="4" t="n">
        <v>12.39</v>
      </c>
      <c r="K4" s="3" t="s">
        <v>31</v>
      </c>
      <c r="L4" s="3" t="s">
        <v>32</v>
      </c>
      <c r="M4" s="3" t="n">
        <v>300</v>
      </c>
      <c r="N4" s="3" t="n">
        <v>14</v>
      </c>
      <c r="O4" s="3"/>
      <c r="P4" s="3" t="s">
        <v>57</v>
      </c>
      <c r="Q4" s="3" t="s">
        <v>48</v>
      </c>
      <c r="R4" s="3" t="s">
        <v>58</v>
      </c>
      <c r="S4" s="5" t="n">
        <v>45994</v>
      </c>
      <c r="T4" s="5" t="n">
        <v>46105</v>
      </c>
      <c r="U4" s="3" t="s">
        <v>59</v>
      </c>
      <c r="V4" s="3" t="n">
        <f aca="false">COUNTIFS(Colours!$A$2:$A$742,$A4,Colours!$D$2:$D$742,"Ordered")</f>
        <v>1</v>
      </c>
    </row>
    <row r="5" customFormat="false" ht="15" hidden="false" customHeight="false" outlineLevel="0" collapsed="false">
      <c r="A5" s="3" t="s">
        <v>60</v>
      </c>
      <c r="B5" s="3" t="s">
        <v>61</v>
      </c>
      <c r="C5" s="3" t="s">
        <v>24</v>
      </c>
      <c r="D5" s="3" t="s">
        <v>62</v>
      </c>
      <c r="E5" s="3" t="s">
        <v>63</v>
      </c>
      <c r="F5" s="3" t="s">
        <v>64</v>
      </c>
      <c r="G5" s="3" t="s">
        <v>65</v>
      </c>
      <c r="H5" s="3" t="s">
        <v>66</v>
      </c>
      <c r="I5" s="3" t="s">
        <v>45</v>
      </c>
      <c r="J5" s="4" t="n">
        <v>103.15</v>
      </c>
      <c r="K5" s="3" t="s">
        <v>31</v>
      </c>
      <c r="L5" s="3" t="s">
        <v>32</v>
      </c>
      <c r="M5" s="3" t="n">
        <v>100</v>
      </c>
      <c r="N5" s="3" t="n">
        <v>6</v>
      </c>
      <c r="O5" s="3" t="s">
        <v>67</v>
      </c>
      <c r="P5" s="3" t="s">
        <v>34</v>
      </c>
      <c r="Q5" s="3" t="s">
        <v>68</v>
      </c>
      <c r="R5" s="3" t="s">
        <v>58</v>
      </c>
      <c r="S5" s="5" t="n">
        <v>45974</v>
      </c>
      <c r="T5" s="5" t="n">
        <v>46110</v>
      </c>
      <c r="U5" s="3"/>
      <c r="V5" s="3" t="n">
        <f aca="false">COUNTIFS(Colours!$A$2:$A$742,$A5,Colours!$D$2:$D$742,"Ordered")</f>
        <v>1</v>
      </c>
    </row>
    <row r="6" customFormat="false" ht="15" hidden="false" customHeight="false" outlineLevel="0" collapsed="false">
      <c r="A6" s="3" t="s">
        <v>69</v>
      </c>
      <c r="B6" s="3" t="s">
        <v>70</v>
      </c>
      <c r="C6" s="3" t="s">
        <v>24</v>
      </c>
      <c r="D6" s="3" t="s">
        <v>71</v>
      </c>
      <c r="E6" s="3" t="s">
        <v>72</v>
      </c>
      <c r="F6" s="3" t="s">
        <v>73</v>
      </c>
      <c r="G6" s="3" t="s">
        <v>74</v>
      </c>
      <c r="H6" s="3" t="s">
        <v>75</v>
      </c>
      <c r="I6" s="3" t="s">
        <v>45</v>
      </c>
      <c r="J6" s="4" t="n">
        <v>15.41</v>
      </c>
      <c r="K6" s="3" t="s">
        <v>31</v>
      </c>
      <c r="L6" s="3" t="s">
        <v>32</v>
      </c>
      <c r="M6" s="3" t="n">
        <v>50</v>
      </c>
      <c r="N6" s="3" t="n">
        <v>6</v>
      </c>
      <c r="O6" s="3" t="s">
        <v>33</v>
      </c>
      <c r="P6" s="3" t="s">
        <v>76</v>
      </c>
      <c r="Q6" s="3" t="s">
        <v>68</v>
      </c>
      <c r="R6" s="3" t="s">
        <v>58</v>
      </c>
      <c r="S6" s="5" t="n">
        <v>45972</v>
      </c>
      <c r="T6" s="5" t="n">
        <v>46097</v>
      </c>
      <c r="U6" s="3"/>
      <c r="V6" s="3" t="n">
        <f aca="false">COUNTIFS(Colours!$A$2:$A$742,$A6,Colours!$D$2:$D$742,"Ordered")</f>
        <v>2</v>
      </c>
    </row>
    <row r="7" customFormat="false" ht="15" hidden="false" customHeight="false" outlineLevel="0" collapsed="false">
      <c r="A7" s="3" t="s">
        <v>77</v>
      </c>
      <c r="B7" s="3" t="s">
        <v>51</v>
      </c>
      <c r="C7" s="3" t="s">
        <v>24</v>
      </c>
      <c r="D7" s="3" t="s">
        <v>52</v>
      </c>
      <c r="E7" s="3" t="s">
        <v>53</v>
      </c>
      <c r="F7" s="3" t="s">
        <v>54</v>
      </c>
      <c r="G7" s="3" t="s">
        <v>78</v>
      </c>
      <c r="H7" s="3" t="s">
        <v>79</v>
      </c>
      <c r="I7" s="3" t="s">
        <v>45</v>
      </c>
      <c r="J7" s="4" t="n">
        <v>30.92</v>
      </c>
      <c r="K7" s="3" t="s">
        <v>31</v>
      </c>
      <c r="L7" s="3" t="s">
        <v>32</v>
      </c>
      <c r="M7" s="3" t="n">
        <v>50</v>
      </c>
      <c r="N7" s="3" t="n">
        <v>7</v>
      </c>
      <c r="O7" s="3" t="s">
        <v>33</v>
      </c>
      <c r="P7" s="3" t="s">
        <v>34</v>
      </c>
      <c r="Q7" s="3" t="s">
        <v>35</v>
      </c>
      <c r="R7" s="3" t="s">
        <v>80</v>
      </c>
      <c r="S7" s="5" t="n">
        <v>45977</v>
      </c>
      <c r="T7" s="5" t="n">
        <v>46012</v>
      </c>
      <c r="U7" s="3" t="s">
        <v>81</v>
      </c>
      <c r="V7" s="3" t="n">
        <f aca="false">COUNTIFS(Colours!$A$2:$A$742,$A7,Colours!$D$2:$D$742,"Ordered")</f>
        <v>2</v>
      </c>
    </row>
    <row r="8" customFormat="false" ht="15" hidden="false" customHeight="false" outlineLevel="0" collapsed="false">
      <c r="A8" s="3" t="s">
        <v>82</v>
      </c>
      <c r="B8" s="3" t="s">
        <v>83</v>
      </c>
      <c r="C8" s="3" t="s">
        <v>24</v>
      </c>
      <c r="D8" s="3" t="s">
        <v>84</v>
      </c>
      <c r="E8" s="3" t="s">
        <v>85</v>
      </c>
      <c r="F8" s="3" t="s">
        <v>86</v>
      </c>
      <c r="G8" s="3" t="s">
        <v>87</v>
      </c>
      <c r="H8" s="3" t="s">
        <v>88</v>
      </c>
      <c r="I8" s="3" t="s">
        <v>89</v>
      </c>
      <c r="J8" s="4" t="n">
        <v>7.62</v>
      </c>
      <c r="K8" s="3" t="s">
        <v>31</v>
      </c>
      <c r="L8" s="3" t="s">
        <v>90</v>
      </c>
      <c r="M8" s="3" t="n">
        <v>500</v>
      </c>
      <c r="N8" s="3" t="n">
        <v>12</v>
      </c>
      <c r="O8" s="3" t="s">
        <v>91</v>
      </c>
      <c r="P8" s="3" t="s">
        <v>92</v>
      </c>
      <c r="Q8" s="3" t="s">
        <v>68</v>
      </c>
      <c r="R8" s="3" t="s">
        <v>36</v>
      </c>
      <c r="S8" s="5" t="n">
        <v>45989</v>
      </c>
      <c r="T8" s="5" t="n">
        <v>46052</v>
      </c>
      <c r="U8" s="3"/>
      <c r="V8" s="3" t="n">
        <f aca="false">COUNTIFS(Colours!$A$2:$A$742,$A8,Colours!$D$2:$D$742,"Ordered")</f>
        <v>1</v>
      </c>
    </row>
    <row r="9" customFormat="false" ht="15" hidden="false" customHeight="false" outlineLevel="0" collapsed="false">
      <c r="A9" s="3" t="s">
        <v>93</v>
      </c>
      <c r="B9" s="3" t="s">
        <v>23</v>
      </c>
      <c r="C9" s="3" t="s">
        <v>24</v>
      </c>
      <c r="D9" s="3" t="s">
        <v>25</v>
      </c>
      <c r="E9" s="3" t="s">
        <v>26</v>
      </c>
      <c r="F9" s="3" t="s">
        <v>27</v>
      </c>
      <c r="G9" s="3" t="s">
        <v>94</v>
      </c>
      <c r="H9" s="3" t="s">
        <v>95</v>
      </c>
      <c r="I9" s="3" t="s">
        <v>96</v>
      </c>
      <c r="J9" s="4"/>
      <c r="K9" s="3" t="s">
        <v>31</v>
      </c>
      <c r="L9" s="3" t="s">
        <v>32</v>
      </c>
      <c r="M9" s="3" t="n">
        <v>100</v>
      </c>
      <c r="N9" s="3" t="n">
        <v>13</v>
      </c>
      <c r="O9" s="3" t="s">
        <v>33</v>
      </c>
      <c r="P9" s="3"/>
      <c r="Q9" s="3" t="s">
        <v>48</v>
      </c>
      <c r="R9" s="3" t="s">
        <v>80</v>
      </c>
      <c r="S9" s="5" t="n">
        <v>46020</v>
      </c>
      <c r="T9" s="5" t="n">
        <v>46152</v>
      </c>
      <c r="U9" s="3"/>
      <c r="V9" s="3" t="n">
        <f aca="false">COUNTIFS(Colours!$A$2:$A$742,$A9,Colours!$D$2:$D$742,"Ordered")</f>
        <v>1</v>
      </c>
    </row>
    <row r="10" customFormat="false" ht="15" hidden="false" customHeight="false" outlineLevel="0" collapsed="false">
      <c r="A10" s="3" t="s">
        <v>97</v>
      </c>
      <c r="B10" s="3" t="s">
        <v>98</v>
      </c>
      <c r="C10" s="3" t="s">
        <v>24</v>
      </c>
      <c r="D10" s="3" t="s">
        <v>25</v>
      </c>
      <c r="E10" s="3" t="s">
        <v>26</v>
      </c>
      <c r="F10" s="3" t="s">
        <v>99</v>
      </c>
      <c r="G10" s="3" t="s">
        <v>100</v>
      </c>
      <c r="H10" s="3" t="s">
        <v>101</v>
      </c>
      <c r="I10" s="3" t="s">
        <v>102</v>
      </c>
      <c r="J10" s="4" t="n">
        <v>56.8</v>
      </c>
      <c r="K10" s="3" t="s">
        <v>31</v>
      </c>
      <c r="L10" s="3" t="s">
        <v>32</v>
      </c>
      <c r="M10" s="3" t="n">
        <v>150</v>
      </c>
      <c r="N10" s="3"/>
      <c r="O10" s="3" t="s">
        <v>33</v>
      </c>
      <c r="P10" s="3" t="s">
        <v>103</v>
      </c>
      <c r="Q10" s="3" t="s">
        <v>35</v>
      </c>
      <c r="R10" s="3" t="s">
        <v>80</v>
      </c>
      <c r="S10" s="5" t="n">
        <v>46011</v>
      </c>
      <c r="T10" s="5" t="n">
        <v>46130</v>
      </c>
      <c r="U10" s="3" t="s">
        <v>37</v>
      </c>
      <c r="V10" s="3" t="n">
        <f aca="false">COUNTIFS(Colours!$A$2:$A$742,$A10,Colours!$D$2:$D$742,"Ordered")</f>
        <v>3</v>
      </c>
    </row>
    <row r="11" customFormat="false" ht="15" hidden="false" customHeight="false" outlineLevel="0" collapsed="false">
      <c r="A11" s="3" t="s">
        <v>104</v>
      </c>
      <c r="B11" s="3" t="s">
        <v>105</v>
      </c>
      <c r="C11" s="3" t="s">
        <v>24</v>
      </c>
      <c r="D11" s="3" t="s">
        <v>71</v>
      </c>
      <c r="E11" s="3" t="s">
        <v>72</v>
      </c>
      <c r="F11" s="3" t="s">
        <v>73</v>
      </c>
      <c r="G11" s="3" t="s">
        <v>106</v>
      </c>
      <c r="H11" s="3" t="s">
        <v>107</v>
      </c>
      <c r="I11" s="3" t="s">
        <v>45</v>
      </c>
      <c r="J11" s="4" t="n">
        <v>32.39</v>
      </c>
      <c r="K11" s="3" t="s">
        <v>31</v>
      </c>
      <c r="L11" s="3" t="s">
        <v>32</v>
      </c>
      <c r="M11" s="3" t="n">
        <v>300</v>
      </c>
      <c r="N11" s="3" t="n">
        <v>5</v>
      </c>
      <c r="O11" s="3" t="s">
        <v>33</v>
      </c>
      <c r="P11" s="3" t="s">
        <v>34</v>
      </c>
      <c r="Q11" s="3" t="s">
        <v>48</v>
      </c>
      <c r="R11" s="3" t="s">
        <v>58</v>
      </c>
      <c r="S11" s="5" t="n">
        <v>46003</v>
      </c>
      <c r="T11" s="5" t="n">
        <v>46072</v>
      </c>
      <c r="U11" s="3"/>
      <c r="V11" s="3" t="n">
        <f aca="false">COUNTIFS(Colours!$A$2:$A$742,$A11,Colours!$D$2:$D$742,"Ordered")</f>
        <v>2</v>
      </c>
    </row>
    <row r="12" customFormat="false" ht="15" hidden="false" customHeight="false" outlineLevel="0" collapsed="false">
      <c r="A12" s="3" t="s">
        <v>108</v>
      </c>
      <c r="B12" s="3" t="s">
        <v>109</v>
      </c>
      <c r="C12" s="3" t="s">
        <v>24</v>
      </c>
      <c r="D12" s="3" t="s">
        <v>110</v>
      </c>
      <c r="E12" s="3" t="s">
        <v>111</v>
      </c>
      <c r="F12" s="3" t="s">
        <v>86</v>
      </c>
      <c r="G12" s="3" t="s">
        <v>87</v>
      </c>
      <c r="H12" s="3" t="s">
        <v>112</v>
      </c>
      <c r="I12" s="3" t="s">
        <v>113</v>
      </c>
      <c r="J12" s="4" t="n">
        <v>9.97</v>
      </c>
      <c r="K12" s="3" t="s">
        <v>31</v>
      </c>
      <c r="L12" s="3" t="s">
        <v>90</v>
      </c>
      <c r="M12" s="3" t="n">
        <v>500</v>
      </c>
      <c r="N12" s="3" t="n">
        <v>9</v>
      </c>
      <c r="O12" s="3" t="s">
        <v>33</v>
      </c>
      <c r="P12" s="3" t="s">
        <v>92</v>
      </c>
      <c r="Q12" s="3" t="s">
        <v>68</v>
      </c>
      <c r="R12" s="3" t="s">
        <v>49</v>
      </c>
      <c r="S12" s="5" t="n">
        <v>46020</v>
      </c>
      <c r="T12" s="5" t="n">
        <v>46078</v>
      </c>
      <c r="U12" s="3" t="s">
        <v>59</v>
      </c>
      <c r="V12" s="3" t="n">
        <f aca="false">COUNTIFS(Colours!$A$2:$A$742,$A12,Colours!$D$2:$D$742,"Ordered")</f>
        <v>3</v>
      </c>
    </row>
    <row r="13" customFormat="false" ht="15" hidden="false" customHeight="false" outlineLevel="0" collapsed="false">
      <c r="A13" s="3" t="s">
        <v>114</v>
      </c>
      <c r="B13" s="3" t="s">
        <v>115</v>
      </c>
      <c r="C13" s="3" t="s">
        <v>24</v>
      </c>
      <c r="D13" s="3" t="s">
        <v>116</v>
      </c>
      <c r="E13" s="3" t="s">
        <v>117</v>
      </c>
      <c r="F13" s="3" t="s">
        <v>86</v>
      </c>
      <c r="G13" s="3" t="s">
        <v>118</v>
      </c>
      <c r="H13" s="3" t="s">
        <v>119</v>
      </c>
      <c r="I13" s="3" t="s">
        <v>120</v>
      </c>
      <c r="J13" s="4" t="n">
        <v>10.81</v>
      </c>
      <c r="K13" s="3" t="s">
        <v>31</v>
      </c>
      <c r="L13" s="3" t="s">
        <v>90</v>
      </c>
      <c r="M13" s="3" t="n">
        <v>500</v>
      </c>
      <c r="N13" s="3" t="n">
        <v>3</v>
      </c>
      <c r="O13" s="3" t="s">
        <v>91</v>
      </c>
      <c r="P13" s="3"/>
      <c r="Q13" s="3" t="s">
        <v>68</v>
      </c>
      <c r="R13" s="3" t="s">
        <v>49</v>
      </c>
      <c r="S13" s="5" t="n">
        <v>46017</v>
      </c>
      <c r="T13" s="5" t="n">
        <v>46034</v>
      </c>
      <c r="U13" s="3"/>
      <c r="V13" s="3" t="n">
        <f aca="false">COUNTIFS(Colours!$A$2:$A$742,$A13,Colours!$D$2:$D$742,"Ordered")</f>
        <v>2</v>
      </c>
    </row>
    <row r="14" customFormat="false" ht="15" hidden="false" customHeight="false" outlineLevel="0" collapsed="false">
      <c r="A14" s="3" t="s">
        <v>121</v>
      </c>
      <c r="B14" s="3" t="s">
        <v>115</v>
      </c>
      <c r="C14" s="3" t="s">
        <v>24</v>
      </c>
      <c r="D14" s="3" t="s">
        <v>116</v>
      </c>
      <c r="E14" s="3" t="s">
        <v>117</v>
      </c>
      <c r="F14" s="3" t="s">
        <v>86</v>
      </c>
      <c r="G14" s="3" t="s">
        <v>87</v>
      </c>
      <c r="H14" s="3" t="s">
        <v>122</v>
      </c>
      <c r="I14" s="3" t="s">
        <v>123</v>
      </c>
      <c r="J14" s="4" t="n">
        <v>14.23</v>
      </c>
      <c r="K14" s="3" t="s">
        <v>31</v>
      </c>
      <c r="L14" s="3" t="s">
        <v>90</v>
      </c>
      <c r="M14" s="3" t="s">
        <v>124</v>
      </c>
      <c r="N14" s="3" t="n">
        <v>7</v>
      </c>
      <c r="O14" s="3" t="s">
        <v>91</v>
      </c>
      <c r="P14" s="3" t="s">
        <v>92</v>
      </c>
      <c r="Q14" s="3" t="s">
        <v>68</v>
      </c>
      <c r="R14" s="3" t="s">
        <v>80</v>
      </c>
      <c r="S14" s="5" t="n">
        <v>46018</v>
      </c>
      <c r="T14" s="5" t="n">
        <v>46106</v>
      </c>
      <c r="U14" s="3"/>
      <c r="V14" s="3" t="n">
        <f aca="false">COUNTIFS(Colours!$A$2:$A$742,$A14,Colours!$D$2:$D$742,"Ordered")</f>
        <v>2</v>
      </c>
    </row>
    <row r="15" customFormat="false" ht="15" hidden="false" customHeight="false" outlineLevel="0" collapsed="false">
      <c r="A15" s="3" t="s">
        <v>125</v>
      </c>
      <c r="B15" s="3" t="s">
        <v>126</v>
      </c>
      <c r="C15" s="3" t="s">
        <v>24</v>
      </c>
      <c r="D15" s="3" t="s">
        <v>116</v>
      </c>
      <c r="E15" s="3" t="s">
        <v>117</v>
      </c>
      <c r="F15" s="3" t="s">
        <v>86</v>
      </c>
      <c r="G15" s="3" t="s">
        <v>127</v>
      </c>
      <c r="H15" s="3" t="s">
        <v>88</v>
      </c>
      <c r="I15" s="3" t="s">
        <v>113</v>
      </c>
      <c r="J15" s="4" t="s">
        <v>124</v>
      </c>
      <c r="K15" s="3" t="s">
        <v>31</v>
      </c>
      <c r="L15" s="3" t="s">
        <v>90</v>
      </c>
      <c r="M15" s="3" t="n">
        <v>300</v>
      </c>
      <c r="N15" s="3" t="n">
        <v>9</v>
      </c>
      <c r="O15" s="3" t="s">
        <v>91</v>
      </c>
      <c r="P15" s="3" t="s">
        <v>128</v>
      </c>
      <c r="Q15" s="3" t="s">
        <v>48</v>
      </c>
      <c r="R15" s="3" t="s">
        <v>58</v>
      </c>
      <c r="S15" s="5" t="n">
        <v>46006</v>
      </c>
      <c r="T15" s="5" t="n">
        <v>46088</v>
      </c>
      <c r="U15" s="3" t="s">
        <v>129</v>
      </c>
      <c r="V15" s="3" t="n">
        <f aca="false">COUNTIFS(Colours!$A$2:$A$742,$A15,Colours!$D$2:$D$742,"Ordered")</f>
        <v>0</v>
      </c>
    </row>
    <row r="16" customFormat="false" ht="15" hidden="false" customHeight="false" outlineLevel="0" collapsed="false">
      <c r="A16" s="3" t="s">
        <v>130</v>
      </c>
      <c r="B16" s="3" t="s">
        <v>131</v>
      </c>
      <c r="C16" s="3" t="s">
        <v>24</v>
      </c>
      <c r="D16" s="3" t="s">
        <v>25</v>
      </c>
      <c r="E16" s="3" t="s">
        <v>26</v>
      </c>
      <c r="F16" s="3" t="s">
        <v>27</v>
      </c>
      <c r="G16" s="3" t="s">
        <v>132</v>
      </c>
      <c r="H16" s="3" t="s">
        <v>133</v>
      </c>
      <c r="I16" s="3" t="s">
        <v>134</v>
      </c>
      <c r="J16" s="4" t="n">
        <v>93.24</v>
      </c>
      <c r="K16" s="3" t="s">
        <v>31</v>
      </c>
      <c r="L16" s="3" t="s">
        <v>32</v>
      </c>
      <c r="M16" s="3" t="n">
        <v>50</v>
      </c>
      <c r="N16" s="3" t="n">
        <v>10</v>
      </c>
      <c r="O16" s="3" t="s">
        <v>33</v>
      </c>
      <c r="P16" s="3" t="s">
        <v>34</v>
      </c>
      <c r="Q16" s="3" t="s">
        <v>48</v>
      </c>
      <c r="R16" s="3" t="s">
        <v>58</v>
      </c>
      <c r="S16" s="5" t="n">
        <v>45973</v>
      </c>
      <c r="T16" s="5" t="n">
        <v>46066</v>
      </c>
      <c r="U16" s="3" t="s">
        <v>135</v>
      </c>
      <c r="V16" s="3" t="n">
        <f aca="false">COUNTIFS(Colours!$A$2:$A$742,$A16,Colours!$D$2:$D$742,"Ordered")</f>
        <v>0</v>
      </c>
    </row>
    <row r="17" customFormat="false" ht="15" hidden="false" customHeight="false" outlineLevel="0" collapsed="false">
      <c r="A17" s="3" t="s">
        <v>136</v>
      </c>
      <c r="B17" s="3" t="s">
        <v>137</v>
      </c>
      <c r="C17" s="3" t="s">
        <v>24</v>
      </c>
      <c r="D17" s="3" t="s">
        <v>84</v>
      </c>
      <c r="E17" s="3" t="s">
        <v>85</v>
      </c>
      <c r="F17" s="3" t="s">
        <v>86</v>
      </c>
      <c r="G17" s="3" t="s">
        <v>87</v>
      </c>
      <c r="H17" s="3" t="s">
        <v>138</v>
      </c>
      <c r="I17" s="3" t="s">
        <v>120</v>
      </c>
      <c r="J17" s="4" t="n">
        <v>13.24</v>
      </c>
      <c r="K17" s="3" t="s">
        <v>31</v>
      </c>
      <c r="L17" s="3" t="s">
        <v>90</v>
      </c>
      <c r="M17" s="3" t="n">
        <v>500</v>
      </c>
      <c r="N17" s="3"/>
      <c r="O17" s="3" t="s">
        <v>91</v>
      </c>
      <c r="P17" s="3" t="s">
        <v>92</v>
      </c>
      <c r="Q17" s="3" t="s">
        <v>68</v>
      </c>
      <c r="R17" s="3" t="s">
        <v>80</v>
      </c>
      <c r="S17" s="5" t="n">
        <v>46020</v>
      </c>
      <c r="T17" s="5" t="n">
        <v>46056</v>
      </c>
      <c r="U17" s="3"/>
      <c r="V17" s="3" t="n">
        <f aca="false">COUNTIFS(Colours!$A$2:$A$742,$A17,Colours!$D$2:$D$742,"Ordered")</f>
        <v>3</v>
      </c>
    </row>
    <row r="18" customFormat="false" ht="15" hidden="false" customHeight="false" outlineLevel="0" collapsed="false">
      <c r="A18" s="3" t="s">
        <v>139</v>
      </c>
      <c r="B18" s="3" t="s">
        <v>23</v>
      </c>
      <c r="C18" s="3" t="s">
        <v>24</v>
      </c>
      <c r="D18" s="3" t="s">
        <v>25</v>
      </c>
      <c r="E18" s="3" t="s">
        <v>26</v>
      </c>
      <c r="F18" s="3" t="s">
        <v>27</v>
      </c>
      <c r="G18" s="3" t="s">
        <v>140</v>
      </c>
      <c r="H18" s="3" t="s">
        <v>141</v>
      </c>
      <c r="I18" s="3"/>
      <c r="J18" s="4"/>
      <c r="K18" s="3" t="s">
        <v>31</v>
      </c>
      <c r="L18" s="3" t="s">
        <v>32</v>
      </c>
      <c r="M18" s="3" t="n">
        <v>150</v>
      </c>
      <c r="N18" s="3" t="n">
        <v>4</v>
      </c>
      <c r="O18" s="3" t="s">
        <v>33</v>
      </c>
      <c r="P18" s="3" t="s">
        <v>103</v>
      </c>
      <c r="Q18" s="3" t="s">
        <v>68</v>
      </c>
      <c r="R18" s="3" t="s">
        <v>58</v>
      </c>
      <c r="S18" s="5" t="n">
        <v>45997</v>
      </c>
      <c r="T18" s="5" t="n">
        <v>46026</v>
      </c>
      <c r="U18" s="3"/>
      <c r="V18" s="3" t="n">
        <f aca="false">COUNTIFS(Colours!$A$2:$A$742,$A18,Colours!$D$2:$D$742,"Ordered")</f>
        <v>2</v>
      </c>
    </row>
    <row r="19" customFormat="false" ht="15" hidden="false" customHeight="false" outlineLevel="0" collapsed="false">
      <c r="A19" s="3" t="s">
        <v>142</v>
      </c>
      <c r="B19" s="3" t="s">
        <v>115</v>
      </c>
      <c r="C19" s="3" t="s">
        <v>24</v>
      </c>
      <c r="D19" s="3" t="s">
        <v>84</v>
      </c>
      <c r="E19" s="3" t="s">
        <v>85</v>
      </c>
      <c r="F19" s="3" t="s">
        <v>86</v>
      </c>
      <c r="G19" s="3" t="s">
        <v>87</v>
      </c>
      <c r="H19" s="3" t="s">
        <v>143</v>
      </c>
      <c r="I19" s="3" t="s">
        <v>89</v>
      </c>
      <c r="J19" s="4" t="n">
        <v>15.91</v>
      </c>
      <c r="K19" s="3" t="s">
        <v>31</v>
      </c>
      <c r="L19" s="3" t="s">
        <v>90</v>
      </c>
      <c r="M19" s="3" t="n">
        <v>300</v>
      </c>
      <c r="N19" s="3" t="n">
        <v>10</v>
      </c>
      <c r="O19" s="3" t="s">
        <v>91</v>
      </c>
      <c r="P19" s="3" t="s">
        <v>128</v>
      </c>
      <c r="Q19" s="3" t="s">
        <v>48</v>
      </c>
      <c r="R19" s="3" t="s">
        <v>144</v>
      </c>
      <c r="S19" s="5" t="n">
        <v>45984</v>
      </c>
      <c r="T19" s="5" t="n">
        <v>46083</v>
      </c>
      <c r="U19" s="3"/>
      <c r="V19" s="3" t="n">
        <f aca="false">COUNTIFS(Colours!$A$2:$A$742,$A19,Colours!$D$2:$D$742,"Ordered")</f>
        <v>2</v>
      </c>
    </row>
    <row r="20" customFormat="false" ht="15" hidden="false" customHeight="false" outlineLevel="0" collapsed="false">
      <c r="A20" s="3" t="s">
        <v>145</v>
      </c>
      <c r="B20" s="3" t="s">
        <v>137</v>
      </c>
      <c r="C20" s="3" t="s">
        <v>24</v>
      </c>
      <c r="D20" s="3" t="s">
        <v>84</v>
      </c>
      <c r="E20" s="3" t="s">
        <v>85</v>
      </c>
      <c r="F20" s="3" t="s">
        <v>86</v>
      </c>
      <c r="G20" s="3" t="s">
        <v>146</v>
      </c>
      <c r="H20" s="3" t="s">
        <v>122</v>
      </c>
      <c r="I20" s="3" t="s">
        <v>120</v>
      </c>
      <c r="J20" s="4" t="n">
        <v>13.89</v>
      </c>
      <c r="K20" s="3" t="s">
        <v>31</v>
      </c>
      <c r="L20" s="3" t="s">
        <v>90</v>
      </c>
      <c r="M20" s="3" t="n">
        <v>200</v>
      </c>
      <c r="N20" s="3" t="n">
        <v>4</v>
      </c>
      <c r="O20" s="3" t="s">
        <v>91</v>
      </c>
      <c r="P20" s="3" t="s">
        <v>92</v>
      </c>
      <c r="Q20" s="3" t="s">
        <v>68</v>
      </c>
      <c r="R20" s="3" t="s">
        <v>58</v>
      </c>
      <c r="S20" s="5" t="n">
        <v>46019</v>
      </c>
      <c r="T20" s="5" t="n">
        <v>46153</v>
      </c>
      <c r="U20" s="3"/>
      <c r="V20" s="3" t="n">
        <f aca="false">COUNTIFS(Colours!$A$2:$A$742,$A20,Colours!$D$2:$D$742,"Ordered")</f>
        <v>1</v>
      </c>
    </row>
    <row r="21" customFormat="false" ht="15" hidden="false" customHeight="false" outlineLevel="0" collapsed="false">
      <c r="A21" s="3" t="s">
        <v>147</v>
      </c>
      <c r="B21" s="3" t="s">
        <v>148</v>
      </c>
      <c r="C21" s="3" t="s">
        <v>24</v>
      </c>
      <c r="D21" s="3" t="s">
        <v>25</v>
      </c>
      <c r="E21" s="3" t="s">
        <v>26</v>
      </c>
      <c r="F21" s="3" t="s">
        <v>99</v>
      </c>
      <c r="G21" s="3" t="s">
        <v>149</v>
      </c>
      <c r="H21" s="3" t="s">
        <v>150</v>
      </c>
      <c r="I21" s="3" t="s">
        <v>151</v>
      </c>
      <c r="J21" s="4" t="n">
        <v>34.85</v>
      </c>
      <c r="K21" s="3" t="s">
        <v>31</v>
      </c>
      <c r="L21" s="3" t="s">
        <v>32</v>
      </c>
      <c r="M21" s="3" t="n">
        <v>150</v>
      </c>
      <c r="N21" s="3" t="n">
        <v>3</v>
      </c>
      <c r="O21" s="3" t="s">
        <v>33</v>
      </c>
      <c r="P21" s="3" t="s">
        <v>152</v>
      </c>
      <c r="Q21" s="3" t="s">
        <v>48</v>
      </c>
      <c r="R21" s="3" t="s">
        <v>144</v>
      </c>
      <c r="S21" s="5" t="n">
        <v>45998</v>
      </c>
      <c r="T21" s="5" t="n">
        <v>46084</v>
      </c>
      <c r="U21" s="3"/>
      <c r="V21" s="3" t="n">
        <f aca="false">COUNTIFS(Colours!$A$2:$A$742,$A21,Colours!$D$2:$D$742,"Ordered")</f>
        <v>3</v>
      </c>
    </row>
    <row r="22" customFormat="false" ht="15" hidden="false" customHeight="false" outlineLevel="0" collapsed="false">
      <c r="A22" s="3" t="s">
        <v>153</v>
      </c>
      <c r="B22" s="3" t="s">
        <v>154</v>
      </c>
      <c r="C22" s="3" t="s">
        <v>24</v>
      </c>
      <c r="D22" s="3" t="s">
        <v>155</v>
      </c>
      <c r="E22" s="3" t="s">
        <v>156</v>
      </c>
      <c r="F22" s="3" t="s">
        <v>54</v>
      </c>
      <c r="G22" s="3" t="s">
        <v>78</v>
      </c>
      <c r="H22" s="3" t="s">
        <v>157</v>
      </c>
      <c r="I22" s="3" t="s">
        <v>45</v>
      </c>
      <c r="J22" s="4" t="n">
        <v>33.12</v>
      </c>
      <c r="K22" s="3" t="s">
        <v>31</v>
      </c>
      <c r="L22" s="3" t="s">
        <v>32</v>
      </c>
      <c r="M22" s="3" t="n">
        <v>150</v>
      </c>
      <c r="N22" s="3" t="n">
        <v>14</v>
      </c>
      <c r="O22" s="3" t="s">
        <v>91</v>
      </c>
      <c r="P22" s="3" t="s">
        <v>152</v>
      </c>
      <c r="Q22" s="3" t="s">
        <v>35</v>
      </c>
      <c r="R22" s="3" t="s">
        <v>49</v>
      </c>
      <c r="S22" s="5" t="n">
        <v>46016</v>
      </c>
      <c r="T22" s="5" t="n">
        <v>46051</v>
      </c>
      <c r="U22" s="3" t="s">
        <v>158</v>
      </c>
      <c r="V22" s="3" t="n">
        <f aca="false">COUNTIFS(Colours!$A$2:$A$742,$A22,Colours!$D$2:$D$742,"Ordered")</f>
        <v>3</v>
      </c>
    </row>
    <row r="23" customFormat="false" ht="15" hidden="false" customHeight="false" outlineLevel="0" collapsed="false">
      <c r="A23" s="3" t="s">
        <v>159</v>
      </c>
      <c r="B23" s="3" t="s">
        <v>51</v>
      </c>
      <c r="C23" s="3" t="s">
        <v>24</v>
      </c>
      <c r="D23" s="3" t="s">
        <v>155</v>
      </c>
      <c r="E23" s="3" t="s">
        <v>156</v>
      </c>
      <c r="F23" s="3" t="s">
        <v>54</v>
      </c>
      <c r="G23" s="3" t="s">
        <v>160</v>
      </c>
      <c r="H23" s="3"/>
      <c r="I23" s="3" t="s">
        <v>45</v>
      </c>
      <c r="J23" s="4"/>
      <c r="K23" s="3" t="s">
        <v>31</v>
      </c>
      <c r="L23" s="3" t="s">
        <v>32</v>
      </c>
      <c r="M23" s="3" t="n">
        <v>100</v>
      </c>
      <c r="N23" s="3" t="n">
        <v>14</v>
      </c>
      <c r="O23" s="3" t="s">
        <v>91</v>
      </c>
      <c r="P23" s="3" t="s">
        <v>34</v>
      </c>
      <c r="Q23" s="3" t="s">
        <v>68</v>
      </c>
      <c r="R23" s="3" t="s">
        <v>144</v>
      </c>
      <c r="S23" s="5" t="n">
        <v>45973</v>
      </c>
      <c r="T23" s="5" t="n">
        <v>46034</v>
      </c>
      <c r="U23" s="3"/>
      <c r="V23" s="3" t="n">
        <f aca="false">COUNTIFS(Colours!$A$2:$A$742,$A23,Colours!$D$2:$D$742,"Ordered")</f>
        <v>1</v>
      </c>
    </row>
    <row r="24" customFormat="false" ht="15" hidden="false" customHeight="false" outlineLevel="0" collapsed="false">
      <c r="A24" s="3" t="s">
        <v>161</v>
      </c>
      <c r="B24" s="3" t="s">
        <v>162</v>
      </c>
      <c r="C24" s="3" t="s">
        <v>24</v>
      </c>
      <c r="D24" s="3" t="s">
        <v>116</v>
      </c>
      <c r="E24" s="3" t="s">
        <v>117</v>
      </c>
      <c r="F24" s="3" t="s">
        <v>86</v>
      </c>
      <c r="G24" s="3" t="s">
        <v>118</v>
      </c>
      <c r="H24" s="3" t="s">
        <v>88</v>
      </c>
      <c r="I24" s="3" t="s">
        <v>113</v>
      </c>
      <c r="J24" s="4" t="n">
        <v>10.66</v>
      </c>
      <c r="K24" s="3" t="s">
        <v>31</v>
      </c>
      <c r="L24" s="3" t="s">
        <v>90</v>
      </c>
      <c r="M24" s="3" t="n">
        <v>200</v>
      </c>
      <c r="N24" s="3" t="n">
        <v>14</v>
      </c>
      <c r="O24" s="3" t="s">
        <v>91</v>
      </c>
      <c r="P24" s="3"/>
      <c r="Q24" s="3" t="s">
        <v>35</v>
      </c>
      <c r="R24" s="3" t="s">
        <v>36</v>
      </c>
      <c r="S24" s="5" t="n">
        <v>45975</v>
      </c>
      <c r="T24" s="5" t="n">
        <v>46103</v>
      </c>
      <c r="U24" s="3" t="s">
        <v>158</v>
      </c>
      <c r="V24" s="3" t="n">
        <f aca="false">COUNTIFS(Colours!$A$2:$A$742,$A24,Colours!$D$2:$D$742,"Ordered")</f>
        <v>1</v>
      </c>
    </row>
    <row r="25" customFormat="false" ht="15" hidden="false" customHeight="false" outlineLevel="0" collapsed="false">
      <c r="A25" s="3" t="s">
        <v>163</v>
      </c>
      <c r="B25" s="3" t="s">
        <v>148</v>
      </c>
      <c r="C25" s="3" t="s">
        <v>24</v>
      </c>
      <c r="D25" s="3" t="s">
        <v>25</v>
      </c>
      <c r="E25" s="3" t="s">
        <v>26</v>
      </c>
      <c r="F25" s="3" t="s">
        <v>99</v>
      </c>
      <c r="G25" s="3" t="s">
        <v>160</v>
      </c>
      <c r="H25" s="3"/>
      <c r="I25" s="3"/>
      <c r="J25" s="4" t="n">
        <v>43.56</v>
      </c>
      <c r="K25" s="3" t="s">
        <v>31</v>
      </c>
      <c r="L25" s="3" t="s">
        <v>32</v>
      </c>
      <c r="M25" s="3" t="n">
        <v>20</v>
      </c>
      <c r="N25" s="3" t="n">
        <v>9</v>
      </c>
      <c r="O25" s="3" t="s">
        <v>33</v>
      </c>
      <c r="P25" s="3"/>
      <c r="Q25" s="3" t="s">
        <v>48</v>
      </c>
      <c r="R25" s="3" t="s">
        <v>144</v>
      </c>
      <c r="S25" s="5" t="n">
        <v>45966</v>
      </c>
      <c r="T25" s="5" t="n">
        <v>46093</v>
      </c>
      <c r="U25" s="3"/>
      <c r="V25" s="3" t="n">
        <f aca="false">COUNTIFS(Colours!$A$2:$A$742,$A25,Colours!$D$2:$D$742,"Ordered")</f>
        <v>2</v>
      </c>
    </row>
    <row r="26" customFormat="false" ht="15" hidden="false" customHeight="false" outlineLevel="0" collapsed="false">
      <c r="A26" s="3" t="s">
        <v>164</v>
      </c>
      <c r="B26" s="3" t="s">
        <v>83</v>
      </c>
      <c r="C26" s="3" t="s">
        <v>24</v>
      </c>
      <c r="D26" s="3" t="s">
        <v>110</v>
      </c>
      <c r="E26" s="3" t="s">
        <v>111</v>
      </c>
      <c r="F26" s="3" t="s">
        <v>86</v>
      </c>
      <c r="G26" s="3" t="s">
        <v>118</v>
      </c>
      <c r="H26" s="3" t="s">
        <v>165</v>
      </c>
      <c r="I26" s="3"/>
      <c r="J26" s="4" t="n">
        <v>9.55</v>
      </c>
      <c r="K26" s="3" t="s">
        <v>31</v>
      </c>
      <c r="L26" s="3" t="s">
        <v>90</v>
      </c>
      <c r="M26" s="3" t="n">
        <v>300</v>
      </c>
      <c r="N26" s="3" t="n">
        <v>14</v>
      </c>
      <c r="O26" s="3" t="s">
        <v>33</v>
      </c>
      <c r="P26" s="3" t="s">
        <v>92</v>
      </c>
      <c r="Q26" s="3" t="s">
        <v>68</v>
      </c>
      <c r="R26" s="3" t="s">
        <v>49</v>
      </c>
      <c r="S26" s="5" t="n">
        <v>46010</v>
      </c>
      <c r="T26" s="5" t="n">
        <v>46110</v>
      </c>
      <c r="U26" s="3"/>
      <c r="V26" s="3" t="n">
        <f aca="false">COUNTIFS(Colours!$A$2:$A$742,$A26,Colours!$D$2:$D$742,"Ordered")</f>
        <v>3</v>
      </c>
    </row>
    <row r="27" customFormat="false" ht="15" hidden="false" customHeight="false" outlineLevel="0" collapsed="false">
      <c r="A27" s="3" t="s">
        <v>166</v>
      </c>
      <c r="B27" s="3" t="s">
        <v>109</v>
      </c>
      <c r="C27" s="3" t="s">
        <v>24</v>
      </c>
      <c r="D27" s="3" t="s">
        <v>110</v>
      </c>
      <c r="E27" s="3" t="s">
        <v>111</v>
      </c>
      <c r="F27" s="3" t="s">
        <v>86</v>
      </c>
      <c r="G27" s="3" t="s">
        <v>127</v>
      </c>
      <c r="H27" s="3" t="s">
        <v>143</v>
      </c>
      <c r="I27" s="3" t="s">
        <v>120</v>
      </c>
      <c r="J27" s="4" t="n">
        <v>15.49</v>
      </c>
      <c r="K27" s="3" t="s">
        <v>31</v>
      </c>
      <c r="L27" s="3" t="s">
        <v>90</v>
      </c>
      <c r="M27" s="3" t="n">
        <v>500</v>
      </c>
      <c r="N27" s="3" t="n">
        <v>10</v>
      </c>
      <c r="O27" s="3" t="s">
        <v>33</v>
      </c>
      <c r="P27" s="3" t="s">
        <v>92</v>
      </c>
      <c r="Q27" s="3" t="s">
        <v>35</v>
      </c>
      <c r="R27" s="3" t="s">
        <v>36</v>
      </c>
      <c r="S27" s="5" t="n">
        <v>46023</v>
      </c>
      <c r="T27" s="5" t="n">
        <v>46099</v>
      </c>
      <c r="U27" s="3" t="s">
        <v>37</v>
      </c>
      <c r="V27" s="3" t="n">
        <f aca="false">COUNTIFS(Colours!$A$2:$A$742,$A27,Colours!$D$2:$D$742,"Ordered")</f>
        <v>1</v>
      </c>
    </row>
    <row r="28" customFormat="false" ht="15" hidden="false" customHeight="false" outlineLevel="0" collapsed="false">
      <c r="A28" s="3" t="s">
        <v>167</v>
      </c>
      <c r="B28" s="3" t="s">
        <v>168</v>
      </c>
      <c r="C28" s="3" t="s">
        <v>24</v>
      </c>
      <c r="D28" s="3" t="s">
        <v>40</v>
      </c>
      <c r="E28" s="3" t="s">
        <v>41</v>
      </c>
      <c r="F28" s="3" t="s">
        <v>54</v>
      </c>
      <c r="G28" s="3" t="s">
        <v>78</v>
      </c>
      <c r="H28" s="3" t="s">
        <v>169</v>
      </c>
      <c r="I28" s="3" t="s">
        <v>30</v>
      </c>
      <c r="J28" s="4" t="n">
        <v>27.8</v>
      </c>
      <c r="K28" s="3" t="s">
        <v>31</v>
      </c>
      <c r="L28" s="3" t="s">
        <v>32</v>
      </c>
      <c r="M28" s="3" t="n">
        <v>20</v>
      </c>
      <c r="N28" s="3" t="n">
        <v>13</v>
      </c>
      <c r="O28" s="3" t="s">
        <v>46</v>
      </c>
      <c r="P28" s="3" t="s">
        <v>57</v>
      </c>
      <c r="Q28" s="3" t="s">
        <v>35</v>
      </c>
      <c r="R28" s="3" t="s">
        <v>49</v>
      </c>
      <c r="S28" s="5" t="n">
        <v>46011</v>
      </c>
      <c r="T28" s="5" t="n">
        <v>46048</v>
      </c>
      <c r="U28" s="3" t="s">
        <v>158</v>
      </c>
      <c r="V28" s="3" t="n">
        <f aca="false">COUNTIFS(Colours!$A$2:$A$742,$A28,Colours!$D$2:$D$742,"Ordered")</f>
        <v>1</v>
      </c>
    </row>
    <row r="29" customFormat="false" ht="15" hidden="false" customHeight="false" outlineLevel="0" collapsed="false">
      <c r="A29" s="3" t="s">
        <v>170</v>
      </c>
      <c r="B29" s="3" t="s">
        <v>171</v>
      </c>
      <c r="C29" s="3" t="s">
        <v>24</v>
      </c>
      <c r="D29" s="3" t="s">
        <v>172</v>
      </c>
      <c r="E29" s="3" t="s">
        <v>173</v>
      </c>
      <c r="F29" s="3" t="s">
        <v>174</v>
      </c>
      <c r="G29" s="3" t="s">
        <v>175</v>
      </c>
      <c r="H29" s="3" t="s">
        <v>176</v>
      </c>
      <c r="I29" s="3" t="s">
        <v>177</v>
      </c>
      <c r="J29" s="4" t="n">
        <v>66.52</v>
      </c>
      <c r="K29" s="3" t="s">
        <v>31</v>
      </c>
      <c r="L29" s="3" t="s">
        <v>178</v>
      </c>
      <c r="M29" s="3" t="n">
        <v>150</v>
      </c>
      <c r="N29" s="3" t="s">
        <v>124</v>
      </c>
      <c r="O29" s="3" t="s">
        <v>33</v>
      </c>
      <c r="P29" s="3" t="s">
        <v>34</v>
      </c>
      <c r="Q29" s="3" t="s">
        <v>48</v>
      </c>
      <c r="R29" s="3" t="s">
        <v>80</v>
      </c>
      <c r="S29" s="5" t="n">
        <v>46016</v>
      </c>
      <c r="T29" s="5" t="n">
        <v>46092</v>
      </c>
      <c r="U29" s="3"/>
      <c r="V29" s="3" t="n">
        <f aca="false">COUNTIFS(Colours!$A$2:$A$742,$A29,Colours!$D$2:$D$742,"Ordered")</f>
        <v>3</v>
      </c>
    </row>
    <row r="30" customFormat="false" ht="15" hidden="false" customHeight="false" outlineLevel="0" collapsed="false">
      <c r="A30" s="3" t="s">
        <v>179</v>
      </c>
      <c r="B30" s="3" t="s">
        <v>115</v>
      </c>
      <c r="C30" s="3" t="s">
        <v>24</v>
      </c>
      <c r="D30" s="3" t="s">
        <v>116</v>
      </c>
      <c r="E30" s="3" t="s">
        <v>117</v>
      </c>
      <c r="F30" s="3" t="s">
        <v>86</v>
      </c>
      <c r="G30" s="3" t="s">
        <v>127</v>
      </c>
      <c r="H30" s="3" t="s">
        <v>122</v>
      </c>
      <c r="I30" s="3" t="s">
        <v>89</v>
      </c>
      <c r="J30" s="4" t="n">
        <v>7.94</v>
      </c>
      <c r="K30" s="3" t="s">
        <v>31</v>
      </c>
      <c r="L30" s="3" t="s">
        <v>90</v>
      </c>
      <c r="M30" s="3" t="n">
        <v>300</v>
      </c>
      <c r="N30" s="3" t="n">
        <v>3</v>
      </c>
      <c r="O30" s="3" t="s">
        <v>91</v>
      </c>
      <c r="P30" s="3"/>
      <c r="Q30" s="3" t="s">
        <v>48</v>
      </c>
      <c r="R30" s="3" t="s">
        <v>36</v>
      </c>
      <c r="S30" s="5" t="n">
        <v>45992</v>
      </c>
      <c r="T30" s="5" t="n">
        <v>46032</v>
      </c>
      <c r="U30" s="3"/>
      <c r="V30" s="3" t="n">
        <f aca="false">COUNTIFS(Colours!$A$2:$A$742,$A30,Colours!$D$2:$D$742,"Ordered")</f>
        <v>2</v>
      </c>
    </row>
    <row r="31" customFormat="false" ht="15" hidden="false" customHeight="false" outlineLevel="0" collapsed="false">
      <c r="A31" s="3" t="s">
        <v>180</v>
      </c>
      <c r="B31" s="3" t="s">
        <v>131</v>
      </c>
      <c r="C31" s="3" t="s">
        <v>24</v>
      </c>
      <c r="D31" s="3" t="s">
        <v>25</v>
      </c>
      <c r="E31" s="3" t="s">
        <v>26</v>
      </c>
      <c r="F31" s="3" t="s">
        <v>27</v>
      </c>
      <c r="G31" s="3" t="s">
        <v>140</v>
      </c>
      <c r="H31" s="3" t="s">
        <v>181</v>
      </c>
      <c r="I31" s="3" t="s">
        <v>134</v>
      </c>
      <c r="J31" s="4" t="n">
        <v>62.8</v>
      </c>
      <c r="K31" s="3" t="s">
        <v>31</v>
      </c>
      <c r="L31" s="3" t="s">
        <v>32</v>
      </c>
      <c r="M31" s="3" t="n">
        <v>300</v>
      </c>
      <c r="N31" s="3" t="n">
        <v>12</v>
      </c>
      <c r="O31" s="3" t="s">
        <v>33</v>
      </c>
      <c r="P31" s="3" t="s">
        <v>103</v>
      </c>
      <c r="Q31" s="3" t="s">
        <v>48</v>
      </c>
      <c r="R31" s="3" t="s">
        <v>36</v>
      </c>
      <c r="S31" s="5" t="n">
        <v>45987</v>
      </c>
      <c r="T31" s="5" t="n">
        <v>46035</v>
      </c>
      <c r="U31" s="3"/>
      <c r="V31" s="3" t="n">
        <f aca="false">COUNTIFS(Colours!$A$2:$A$742,$A31,Colours!$D$2:$D$742,"Ordered")</f>
        <v>3</v>
      </c>
    </row>
    <row r="32" customFormat="false" ht="15" hidden="false" customHeight="false" outlineLevel="0" collapsed="false">
      <c r="A32" s="3" t="s">
        <v>182</v>
      </c>
      <c r="B32" s="3" t="s">
        <v>131</v>
      </c>
      <c r="C32" s="3" t="s">
        <v>24</v>
      </c>
      <c r="D32" s="3" t="s">
        <v>25</v>
      </c>
      <c r="E32" s="3" t="s">
        <v>26</v>
      </c>
      <c r="F32" s="3" t="s">
        <v>27</v>
      </c>
      <c r="G32" s="3" t="s">
        <v>94</v>
      </c>
      <c r="H32" s="3" t="s">
        <v>183</v>
      </c>
      <c r="I32" s="3" t="s">
        <v>96</v>
      </c>
      <c r="J32" s="4" t="n">
        <v>46.58</v>
      </c>
      <c r="K32" s="3" t="s">
        <v>31</v>
      </c>
      <c r="L32" s="3" t="s">
        <v>32</v>
      </c>
      <c r="M32" s="3" t="n">
        <v>150</v>
      </c>
      <c r="N32" s="3" t="n">
        <v>12</v>
      </c>
      <c r="O32" s="3" t="s">
        <v>33</v>
      </c>
      <c r="P32" s="3" t="s">
        <v>103</v>
      </c>
      <c r="Q32" s="3" t="s">
        <v>48</v>
      </c>
      <c r="R32" s="3" t="s">
        <v>80</v>
      </c>
      <c r="S32" s="5" t="n">
        <v>45972</v>
      </c>
      <c r="T32" s="5" t="n">
        <v>46050</v>
      </c>
      <c r="U32" s="3"/>
      <c r="V32" s="3" t="n">
        <f aca="false">COUNTIFS(Colours!$A$2:$A$742,$A32,Colours!$D$2:$D$742,"Ordered")</f>
        <v>0</v>
      </c>
    </row>
    <row r="33" customFormat="false" ht="15" hidden="false" customHeight="false" outlineLevel="0" collapsed="false">
      <c r="A33" s="3" t="s">
        <v>184</v>
      </c>
      <c r="B33" s="3" t="s">
        <v>61</v>
      </c>
      <c r="C33" s="3" t="s">
        <v>24</v>
      </c>
      <c r="D33" s="3" t="s">
        <v>62</v>
      </c>
      <c r="E33" s="3" t="s">
        <v>63</v>
      </c>
      <c r="F33" s="3" t="s">
        <v>64</v>
      </c>
      <c r="G33" s="3" t="s">
        <v>185</v>
      </c>
      <c r="H33" s="3" t="s">
        <v>186</v>
      </c>
      <c r="I33" s="3" t="s">
        <v>45</v>
      </c>
      <c r="J33" s="4" t="n">
        <v>92.57</v>
      </c>
      <c r="K33" s="3" t="s">
        <v>31</v>
      </c>
      <c r="L33" s="3" t="s">
        <v>32</v>
      </c>
      <c r="M33" s="3" t="n">
        <v>300</v>
      </c>
      <c r="N33" s="3" t="n">
        <v>4</v>
      </c>
      <c r="O33" s="3"/>
      <c r="P33" s="3" t="s">
        <v>34</v>
      </c>
      <c r="Q33" s="3" t="s">
        <v>35</v>
      </c>
      <c r="R33" s="3" t="s">
        <v>80</v>
      </c>
      <c r="S33" s="5" t="n">
        <v>45968</v>
      </c>
      <c r="T33" s="5" t="n">
        <v>46018</v>
      </c>
      <c r="U33" s="3"/>
      <c r="V33" s="3" t="n">
        <f aca="false">COUNTIFS(Colours!$A$2:$A$742,$A33,Colours!$D$2:$D$742,"Ordered")</f>
        <v>3</v>
      </c>
    </row>
    <row r="34" customFormat="false" ht="15" hidden="false" customHeight="false" outlineLevel="0" collapsed="false">
      <c r="A34" s="3" t="s">
        <v>187</v>
      </c>
      <c r="B34" s="3" t="s">
        <v>126</v>
      </c>
      <c r="C34" s="3" t="s">
        <v>24</v>
      </c>
      <c r="D34" s="3" t="s">
        <v>116</v>
      </c>
      <c r="E34" s="3" t="s">
        <v>117</v>
      </c>
      <c r="F34" s="3" t="s">
        <v>86</v>
      </c>
      <c r="G34" s="3" t="s">
        <v>127</v>
      </c>
      <c r="H34" s="3" t="s">
        <v>138</v>
      </c>
      <c r="I34" s="3" t="s">
        <v>113</v>
      </c>
      <c r="J34" s="4" t="n">
        <v>6.29</v>
      </c>
      <c r="K34" s="3" t="s">
        <v>31</v>
      </c>
      <c r="L34" s="3" t="s">
        <v>90</v>
      </c>
      <c r="M34" s="3"/>
      <c r="N34" s="3" t="s">
        <v>124</v>
      </c>
      <c r="O34" s="3" t="s">
        <v>91</v>
      </c>
      <c r="P34" s="3" t="s">
        <v>92</v>
      </c>
      <c r="Q34" s="3" t="s">
        <v>48</v>
      </c>
      <c r="R34" s="3" t="s">
        <v>80</v>
      </c>
      <c r="S34" s="5" t="n">
        <v>45999</v>
      </c>
      <c r="T34" s="5" t="n">
        <v>46005</v>
      </c>
      <c r="U34" s="3"/>
      <c r="V34" s="3" t="n">
        <f aca="false">COUNTIFS(Colours!$A$2:$A$742,$A34,Colours!$D$2:$D$742,"Ordered")</f>
        <v>2</v>
      </c>
    </row>
    <row r="35" customFormat="false" ht="15" hidden="false" customHeight="false" outlineLevel="0" collapsed="false">
      <c r="A35" s="3" t="s">
        <v>188</v>
      </c>
      <c r="B35" s="3" t="s">
        <v>189</v>
      </c>
      <c r="C35" s="3" t="s">
        <v>24</v>
      </c>
      <c r="D35" s="3" t="s">
        <v>155</v>
      </c>
      <c r="E35" s="3" t="s">
        <v>156</v>
      </c>
      <c r="F35" s="3" t="s">
        <v>99</v>
      </c>
      <c r="G35" s="3" t="s">
        <v>100</v>
      </c>
      <c r="H35" s="3" t="s">
        <v>190</v>
      </c>
      <c r="I35" s="3" t="s">
        <v>102</v>
      </c>
      <c r="J35" s="4" t="n">
        <v>77.6</v>
      </c>
      <c r="K35" s="3" t="s">
        <v>31</v>
      </c>
      <c r="L35" s="3" t="s">
        <v>32</v>
      </c>
      <c r="M35" s="3" t="n">
        <v>20</v>
      </c>
      <c r="N35" s="3"/>
      <c r="O35" s="3" t="s">
        <v>91</v>
      </c>
      <c r="P35" s="3" t="s">
        <v>34</v>
      </c>
      <c r="Q35" s="3" t="s">
        <v>35</v>
      </c>
      <c r="R35" s="3" t="s">
        <v>49</v>
      </c>
      <c r="S35" s="5" t="n">
        <v>46023</v>
      </c>
      <c r="T35" s="5" t="n">
        <v>46031</v>
      </c>
      <c r="U35" s="3" t="s">
        <v>37</v>
      </c>
      <c r="V35" s="3" t="n">
        <f aca="false">COUNTIFS(Colours!$A$2:$A$742,$A35,Colours!$D$2:$D$742,"Ordered")</f>
        <v>0</v>
      </c>
    </row>
    <row r="36" customFormat="false" ht="15" hidden="false" customHeight="false" outlineLevel="0" collapsed="false">
      <c r="A36" s="3" t="s">
        <v>191</v>
      </c>
      <c r="B36" s="3" t="s">
        <v>162</v>
      </c>
      <c r="C36" s="3" t="s">
        <v>24</v>
      </c>
      <c r="D36" s="3" t="s">
        <v>84</v>
      </c>
      <c r="E36" s="3" t="s">
        <v>85</v>
      </c>
      <c r="F36" s="3" t="s">
        <v>86</v>
      </c>
      <c r="G36" s="3" t="s">
        <v>87</v>
      </c>
      <c r="H36" s="3" t="s">
        <v>88</v>
      </c>
      <c r="I36" s="3" t="s">
        <v>113</v>
      </c>
      <c r="J36" s="4" t="n">
        <v>9.19</v>
      </c>
      <c r="K36" s="3" t="s">
        <v>31</v>
      </c>
      <c r="L36" s="3" t="s">
        <v>90</v>
      </c>
      <c r="M36" s="3" t="n">
        <v>300</v>
      </c>
      <c r="N36" s="3" t="n">
        <v>9</v>
      </c>
      <c r="O36" s="3" t="s">
        <v>91</v>
      </c>
      <c r="P36" s="3" t="s">
        <v>92</v>
      </c>
      <c r="Q36" s="3" t="s">
        <v>48</v>
      </c>
      <c r="R36" s="3" t="s">
        <v>58</v>
      </c>
      <c r="S36" s="5" t="n">
        <v>45983</v>
      </c>
      <c r="T36" s="5" t="n">
        <v>46054</v>
      </c>
      <c r="U36" s="3"/>
      <c r="V36" s="3" t="n">
        <f aca="false">COUNTIFS(Colours!$A$2:$A$742,$A36,Colours!$D$2:$D$742,"Ordered")</f>
        <v>5</v>
      </c>
    </row>
    <row r="37" customFormat="false" ht="15" hidden="false" customHeight="false" outlineLevel="0" collapsed="false">
      <c r="A37" s="3" t="s">
        <v>192</v>
      </c>
      <c r="B37" s="3" t="s">
        <v>126</v>
      </c>
      <c r="C37" s="3" t="s">
        <v>24</v>
      </c>
      <c r="D37" s="3" t="s">
        <v>116</v>
      </c>
      <c r="E37" s="3" t="s">
        <v>117</v>
      </c>
      <c r="F37" s="3" t="s">
        <v>86</v>
      </c>
      <c r="G37" s="3" t="s">
        <v>146</v>
      </c>
      <c r="H37" s="3" t="s">
        <v>122</v>
      </c>
      <c r="I37" s="3" t="s">
        <v>123</v>
      </c>
      <c r="J37" s="4" t="n">
        <v>11.4</v>
      </c>
      <c r="K37" s="3" t="s">
        <v>31</v>
      </c>
      <c r="L37" s="3" t="s">
        <v>90</v>
      </c>
      <c r="M37" s="3"/>
      <c r="N37" s="3" t="n">
        <v>6</v>
      </c>
      <c r="O37" s="3" t="s">
        <v>91</v>
      </c>
      <c r="P37" s="3" t="s">
        <v>92</v>
      </c>
      <c r="Q37" s="3" t="s">
        <v>48</v>
      </c>
      <c r="R37" s="3" t="s">
        <v>80</v>
      </c>
      <c r="S37" s="5" t="n">
        <v>45969</v>
      </c>
      <c r="T37" s="5" t="n">
        <v>46051</v>
      </c>
      <c r="U37" s="3"/>
      <c r="V37" s="3" t="n">
        <f aca="false">COUNTIFS(Colours!$A$2:$A$742,$A37,Colours!$D$2:$D$742,"Ordered")</f>
        <v>4</v>
      </c>
    </row>
    <row r="38" customFormat="false" ht="15" hidden="false" customHeight="false" outlineLevel="0" collapsed="false">
      <c r="A38" s="3" t="s">
        <v>193</v>
      </c>
      <c r="B38" s="3" t="s">
        <v>148</v>
      </c>
      <c r="C38" s="3" t="s">
        <v>24</v>
      </c>
      <c r="D38" s="3" t="s">
        <v>25</v>
      </c>
      <c r="E38" s="3" t="s">
        <v>26</v>
      </c>
      <c r="F38" s="3" t="s">
        <v>99</v>
      </c>
      <c r="G38" s="3" t="s">
        <v>160</v>
      </c>
      <c r="H38" s="3" t="s">
        <v>194</v>
      </c>
      <c r="I38" s="3" t="s">
        <v>102</v>
      </c>
      <c r="J38" s="4"/>
      <c r="K38" s="3" t="s">
        <v>31</v>
      </c>
      <c r="L38" s="3" t="s">
        <v>32</v>
      </c>
      <c r="M38" s="3" t="n">
        <v>150</v>
      </c>
      <c r="N38" s="3" t="n">
        <v>5</v>
      </c>
      <c r="O38" s="3" t="s">
        <v>33</v>
      </c>
      <c r="P38" s="3" t="s">
        <v>103</v>
      </c>
      <c r="Q38" s="3" t="s">
        <v>35</v>
      </c>
      <c r="R38" s="3" t="s">
        <v>36</v>
      </c>
      <c r="S38" s="5" t="n">
        <v>45966</v>
      </c>
      <c r="T38" s="5" t="n">
        <v>46081</v>
      </c>
      <c r="U38" s="3" t="s">
        <v>81</v>
      </c>
      <c r="V38" s="3" t="n">
        <f aca="false">COUNTIFS(Colours!$A$2:$A$742,$A38,Colours!$D$2:$D$742,"Ordered")</f>
        <v>2</v>
      </c>
    </row>
    <row r="39" customFormat="false" ht="15" hidden="false" customHeight="false" outlineLevel="0" collapsed="false">
      <c r="A39" s="3" t="s">
        <v>195</v>
      </c>
      <c r="B39" s="3" t="s">
        <v>196</v>
      </c>
      <c r="C39" s="3" t="s">
        <v>24</v>
      </c>
      <c r="D39" s="3" t="s">
        <v>52</v>
      </c>
      <c r="E39" s="3" t="s">
        <v>53</v>
      </c>
      <c r="F39" s="3" t="s">
        <v>64</v>
      </c>
      <c r="G39" s="3" t="s">
        <v>65</v>
      </c>
      <c r="H39" s="3" t="s">
        <v>197</v>
      </c>
      <c r="I39" s="3" t="s">
        <v>198</v>
      </c>
      <c r="J39" s="4" t="n">
        <v>103.41</v>
      </c>
      <c r="K39" s="3" t="s">
        <v>31</v>
      </c>
      <c r="L39" s="3" t="s">
        <v>32</v>
      </c>
      <c r="M39" s="3" t="n">
        <v>100</v>
      </c>
      <c r="N39" s="3" t="n">
        <v>8</v>
      </c>
      <c r="O39" s="3" t="s">
        <v>33</v>
      </c>
      <c r="P39" s="3" t="s">
        <v>34</v>
      </c>
      <c r="Q39" s="3" t="s">
        <v>48</v>
      </c>
      <c r="R39" s="3" t="s">
        <v>144</v>
      </c>
      <c r="S39" s="5" t="n">
        <v>45986</v>
      </c>
      <c r="T39" s="5" t="n">
        <v>46081</v>
      </c>
      <c r="U39" s="3"/>
      <c r="V39" s="3" t="n">
        <f aca="false">COUNTIFS(Colours!$A$2:$A$742,$A39,Colours!$D$2:$D$742,"Ordered")</f>
        <v>1</v>
      </c>
    </row>
    <row r="40" customFormat="false" ht="15" hidden="false" customHeight="false" outlineLevel="0" collapsed="false">
      <c r="A40" s="3" t="s">
        <v>199</v>
      </c>
      <c r="B40" s="3" t="s">
        <v>171</v>
      </c>
      <c r="C40" s="3" t="s">
        <v>24</v>
      </c>
      <c r="D40" s="3" t="s">
        <v>172</v>
      </c>
      <c r="E40" s="3" t="s">
        <v>173</v>
      </c>
      <c r="F40" s="3" t="s">
        <v>174</v>
      </c>
      <c r="G40" s="3" t="s">
        <v>160</v>
      </c>
      <c r="H40" s="3" t="s">
        <v>200</v>
      </c>
      <c r="I40" s="3" t="s">
        <v>177</v>
      </c>
      <c r="J40" s="4" t="n">
        <v>178.03</v>
      </c>
      <c r="K40" s="3" t="s">
        <v>31</v>
      </c>
      <c r="L40" s="3" t="s">
        <v>178</v>
      </c>
      <c r="M40" s="3" t="n">
        <v>20</v>
      </c>
      <c r="N40" s="3" t="n">
        <v>5</v>
      </c>
      <c r="O40" s="3"/>
      <c r="P40" s="3" t="s">
        <v>57</v>
      </c>
      <c r="Q40" s="3" t="s">
        <v>68</v>
      </c>
      <c r="R40" s="3" t="s">
        <v>36</v>
      </c>
      <c r="S40" s="5" t="n">
        <v>45986</v>
      </c>
      <c r="T40" s="5" t="n">
        <v>46073</v>
      </c>
      <c r="U40" s="3"/>
      <c r="V40" s="3" t="n">
        <f aca="false">COUNTIFS(Colours!$A$2:$A$742,$A40,Colours!$D$2:$D$742,"Ordered")</f>
        <v>3</v>
      </c>
    </row>
    <row r="41" customFormat="false" ht="15" hidden="false" customHeight="false" outlineLevel="0" collapsed="false">
      <c r="A41" s="3" t="s">
        <v>201</v>
      </c>
      <c r="B41" s="3" t="s">
        <v>105</v>
      </c>
      <c r="C41" s="3" t="s">
        <v>24</v>
      </c>
      <c r="D41" s="3" t="s">
        <v>71</v>
      </c>
      <c r="E41" s="3" t="s">
        <v>72</v>
      </c>
      <c r="F41" s="3" t="s">
        <v>73</v>
      </c>
      <c r="G41" s="3" t="s">
        <v>106</v>
      </c>
      <c r="H41" s="3" t="s">
        <v>202</v>
      </c>
      <c r="I41" s="3" t="s">
        <v>45</v>
      </c>
      <c r="J41" s="4" t="n">
        <v>13.74</v>
      </c>
      <c r="K41" s="3" t="s">
        <v>31</v>
      </c>
      <c r="L41" s="3" t="s">
        <v>32</v>
      </c>
      <c r="M41" s="3" t="n">
        <v>150</v>
      </c>
      <c r="N41" s="3" t="n">
        <v>14</v>
      </c>
      <c r="O41" s="3" t="s">
        <v>33</v>
      </c>
      <c r="P41" s="3" t="s">
        <v>76</v>
      </c>
      <c r="Q41" s="3" t="s">
        <v>48</v>
      </c>
      <c r="R41" s="3" t="s">
        <v>58</v>
      </c>
      <c r="S41" s="5" t="n">
        <v>45964</v>
      </c>
      <c r="T41" s="5" t="n">
        <v>46104</v>
      </c>
      <c r="U41" s="3"/>
      <c r="V41" s="3" t="n">
        <f aca="false">COUNTIFS(Colours!$A$2:$A$742,$A41,Colours!$D$2:$D$742,"Ordered")</f>
        <v>3</v>
      </c>
    </row>
    <row r="42" customFormat="false" ht="15" hidden="false" customHeight="false" outlineLevel="0" collapsed="false">
      <c r="A42" s="3" t="s">
        <v>203</v>
      </c>
      <c r="B42" s="3" t="s">
        <v>204</v>
      </c>
      <c r="C42" s="3" t="s">
        <v>24</v>
      </c>
      <c r="D42" s="3" t="s">
        <v>155</v>
      </c>
      <c r="E42" s="3" t="s">
        <v>156</v>
      </c>
      <c r="F42" s="3" t="s">
        <v>99</v>
      </c>
      <c r="G42" s="3" t="s">
        <v>149</v>
      </c>
      <c r="H42" s="3" t="s">
        <v>205</v>
      </c>
      <c r="I42" s="3" t="s">
        <v>206</v>
      </c>
      <c r="J42" s="4" t="n">
        <v>77.08</v>
      </c>
      <c r="K42" s="3" t="s">
        <v>31</v>
      </c>
      <c r="L42" s="3" t="s">
        <v>32</v>
      </c>
      <c r="M42" s="3" t="n">
        <v>300</v>
      </c>
      <c r="N42" s="3" t="n">
        <v>7</v>
      </c>
      <c r="O42" s="3" t="s">
        <v>91</v>
      </c>
      <c r="P42" s="3" t="s">
        <v>34</v>
      </c>
      <c r="Q42" s="3" t="s">
        <v>68</v>
      </c>
      <c r="R42" s="3" t="s">
        <v>144</v>
      </c>
      <c r="S42" s="5" t="n">
        <v>45979</v>
      </c>
      <c r="T42" s="5" t="n">
        <v>46106</v>
      </c>
      <c r="U42" s="3"/>
      <c r="V42" s="3" t="n">
        <f aca="false">COUNTIFS(Colours!$A$2:$A$742,$A42,Colours!$D$2:$D$742,"Ordered")</f>
        <v>4</v>
      </c>
    </row>
    <row r="43" customFormat="false" ht="15" hidden="false" customHeight="false" outlineLevel="0" collapsed="false">
      <c r="A43" s="3" t="s">
        <v>207</v>
      </c>
      <c r="B43" s="3" t="s">
        <v>162</v>
      </c>
      <c r="C43" s="3" t="s">
        <v>24</v>
      </c>
      <c r="D43" s="3" t="s">
        <v>84</v>
      </c>
      <c r="E43" s="3" t="s">
        <v>85</v>
      </c>
      <c r="F43" s="3" t="s">
        <v>86</v>
      </c>
      <c r="G43" s="3" t="s">
        <v>118</v>
      </c>
      <c r="H43" s="3" t="s">
        <v>138</v>
      </c>
      <c r="I43" s="3" t="s">
        <v>120</v>
      </c>
      <c r="J43" s="4" t="n">
        <v>11.81</v>
      </c>
      <c r="K43" s="3" t="s">
        <v>31</v>
      </c>
      <c r="L43" s="3" t="s">
        <v>90</v>
      </c>
      <c r="M43" s="3" t="n">
        <v>300</v>
      </c>
      <c r="N43" s="3" t="n">
        <v>5</v>
      </c>
      <c r="O43" s="3" t="s">
        <v>91</v>
      </c>
      <c r="P43" s="3" t="s">
        <v>128</v>
      </c>
      <c r="Q43" s="3" t="s">
        <v>35</v>
      </c>
      <c r="R43" s="3" t="s">
        <v>49</v>
      </c>
      <c r="S43" s="5" t="n">
        <v>46024</v>
      </c>
      <c r="T43" s="5" t="n">
        <v>46161</v>
      </c>
      <c r="U43" s="3" t="s">
        <v>208</v>
      </c>
      <c r="V43" s="3" t="n">
        <f aca="false">COUNTIFS(Colours!$A$2:$A$742,$A43,Colours!$D$2:$D$742,"Ordered")</f>
        <v>2</v>
      </c>
    </row>
    <row r="44" customFormat="false" ht="15" hidden="false" customHeight="false" outlineLevel="0" collapsed="false">
      <c r="A44" s="3" t="s">
        <v>209</v>
      </c>
      <c r="B44" s="3" t="s">
        <v>171</v>
      </c>
      <c r="C44" s="3" t="s">
        <v>24</v>
      </c>
      <c r="D44" s="3" t="s">
        <v>172</v>
      </c>
      <c r="E44" s="3" t="s">
        <v>173</v>
      </c>
      <c r="F44" s="3" t="s">
        <v>174</v>
      </c>
      <c r="G44" s="3" t="s">
        <v>210</v>
      </c>
      <c r="H44" s="3" t="s">
        <v>200</v>
      </c>
      <c r="I44" s="3" t="s">
        <v>177</v>
      </c>
      <c r="J44" s="4" t="n">
        <v>143.03</v>
      </c>
      <c r="K44" s="3" t="s">
        <v>31</v>
      </c>
      <c r="L44" s="3" t="s">
        <v>178</v>
      </c>
      <c r="M44" s="3" t="n">
        <v>50</v>
      </c>
      <c r="N44" s="3" t="n">
        <v>5</v>
      </c>
      <c r="O44" s="3" t="s">
        <v>33</v>
      </c>
      <c r="P44" s="3" t="s">
        <v>34</v>
      </c>
      <c r="Q44" s="3" t="s">
        <v>48</v>
      </c>
      <c r="R44" s="3" t="s">
        <v>80</v>
      </c>
      <c r="S44" s="5" t="n">
        <v>46005</v>
      </c>
      <c r="T44" s="5" t="n">
        <v>46057</v>
      </c>
      <c r="U44" s="3"/>
      <c r="V44" s="3" t="n">
        <f aca="false">COUNTIFS(Colours!$A$2:$A$742,$A44,Colours!$D$2:$D$742,"Ordered")</f>
        <v>1</v>
      </c>
    </row>
    <row r="45" customFormat="false" ht="15" hidden="false" customHeight="false" outlineLevel="0" collapsed="false">
      <c r="A45" s="3" t="s">
        <v>211</v>
      </c>
      <c r="B45" s="3" t="s">
        <v>212</v>
      </c>
      <c r="C45" s="3" t="s">
        <v>24</v>
      </c>
      <c r="D45" s="3" t="s">
        <v>52</v>
      </c>
      <c r="E45" s="3" t="s">
        <v>53</v>
      </c>
      <c r="F45" s="3" t="s">
        <v>54</v>
      </c>
      <c r="G45" s="3" t="s">
        <v>78</v>
      </c>
      <c r="H45" s="3" t="s">
        <v>213</v>
      </c>
      <c r="I45" s="3"/>
      <c r="J45" s="4" t="n">
        <v>37.69</v>
      </c>
      <c r="K45" s="3" t="s">
        <v>31</v>
      </c>
      <c r="L45" s="3" t="s">
        <v>32</v>
      </c>
      <c r="M45" s="3" t="n">
        <v>100</v>
      </c>
      <c r="N45" s="3" t="n">
        <v>12</v>
      </c>
      <c r="O45" s="3" t="s">
        <v>33</v>
      </c>
      <c r="P45" s="3" t="s">
        <v>152</v>
      </c>
      <c r="Q45" s="3" t="s">
        <v>35</v>
      </c>
      <c r="R45" s="3" t="s">
        <v>36</v>
      </c>
      <c r="S45" s="5" t="n">
        <v>45990</v>
      </c>
      <c r="T45" s="5" t="n">
        <v>46000</v>
      </c>
      <c r="U45" s="3" t="s">
        <v>37</v>
      </c>
      <c r="V45" s="3" t="n">
        <f aca="false">COUNTIFS(Colours!$A$2:$A$742,$A45,Colours!$D$2:$D$742,"Ordered")</f>
        <v>1</v>
      </c>
    </row>
    <row r="46" customFormat="false" ht="15" hidden="false" customHeight="false" outlineLevel="0" collapsed="false">
      <c r="A46" s="3" t="s">
        <v>214</v>
      </c>
      <c r="B46" s="3" t="s">
        <v>212</v>
      </c>
      <c r="C46" s="3" t="s">
        <v>24</v>
      </c>
      <c r="D46" s="3" t="s">
        <v>155</v>
      </c>
      <c r="E46" s="3" t="s">
        <v>156</v>
      </c>
      <c r="F46" s="3" t="s">
        <v>54</v>
      </c>
      <c r="G46" s="3" t="s">
        <v>160</v>
      </c>
      <c r="H46" s="3" t="s">
        <v>215</v>
      </c>
      <c r="I46" s="3" t="s">
        <v>198</v>
      </c>
      <c r="J46" s="4"/>
      <c r="K46" s="3" t="s">
        <v>31</v>
      </c>
      <c r="L46" s="3" t="s">
        <v>32</v>
      </c>
      <c r="M46" s="3" t="n">
        <v>50</v>
      </c>
      <c r="N46" s="3" t="n">
        <v>5</v>
      </c>
      <c r="O46" s="3" t="s">
        <v>91</v>
      </c>
      <c r="P46" s="3" t="s">
        <v>34</v>
      </c>
      <c r="Q46" s="3" t="s">
        <v>68</v>
      </c>
      <c r="R46" s="3" t="s">
        <v>58</v>
      </c>
      <c r="S46" s="5" t="n">
        <v>45993</v>
      </c>
      <c r="T46" s="5" t="n">
        <v>46095</v>
      </c>
      <c r="U46" s="3"/>
      <c r="V46" s="3" t="n">
        <f aca="false">COUNTIFS(Colours!$A$2:$A$742,$A46,Colours!$D$2:$D$742,"Ordered")</f>
        <v>4</v>
      </c>
    </row>
    <row r="47" customFormat="false" ht="15" hidden="false" customHeight="false" outlineLevel="0" collapsed="false">
      <c r="A47" s="3" t="s">
        <v>216</v>
      </c>
      <c r="B47" s="3" t="s">
        <v>217</v>
      </c>
      <c r="C47" s="3" t="s">
        <v>24</v>
      </c>
      <c r="D47" s="3" t="s">
        <v>62</v>
      </c>
      <c r="E47" s="3" t="s">
        <v>63</v>
      </c>
      <c r="F47" s="3" t="s">
        <v>42</v>
      </c>
      <c r="G47" s="3" t="s">
        <v>218</v>
      </c>
      <c r="H47" s="3" t="s">
        <v>219</v>
      </c>
      <c r="I47" s="3" t="s">
        <v>45</v>
      </c>
      <c r="J47" s="4" t="n">
        <v>12.13</v>
      </c>
      <c r="K47" s="3" t="s">
        <v>31</v>
      </c>
      <c r="L47" s="3" t="s">
        <v>32</v>
      </c>
      <c r="M47" s="3" t="n">
        <v>50</v>
      </c>
      <c r="N47" s="3" t="n">
        <v>6</v>
      </c>
      <c r="O47" s="3" t="s">
        <v>67</v>
      </c>
      <c r="P47" s="3" t="s">
        <v>34</v>
      </c>
      <c r="Q47" s="3" t="s">
        <v>48</v>
      </c>
      <c r="R47" s="3" t="s">
        <v>144</v>
      </c>
      <c r="S47" s="5" t="n">
        <v>46019</v>
      </c>
      <c r="T47" s="5" t="n">
        <v>46103</v>
      </c>
      <c r="U47" s="3"/>
      <c r="V47" s="3" t="n">
        <f aca="false">COUNTIFS(Colours!$A$2:$A$742,$A47,Colours!$D$2:$D$742,"Ordered")</f>
        <v>0</v>
      </c>
    </row>
    <row r="48" customFormat="false" ht="15" hidden="false" customHeight="false" outlineLevel="0" collapsed="false">
      <c r="A48" s="3" t="s">
        <v>220</v>
      </c>
      <c r="B48" s="3" t="s">
        <v>212</v>
      </c>
      <c r="C48" s="3" t="s">
        <v>24</v>
      </c>
      <c r="D48" s="3" t="s">
        <v>155</v>
      </c>
      <c r="E48" s="3" t="s">
        <v>156</v>
      </c>
      <c r="F48" s="3" t="s">
        <v>54</v>
      </c>
      <c r="G48" s="3" t="s">
        <v>55</v>
      </c>
      <c r="H48" s="3" t="s">
        <v>221</v>
      </c>
      <c r="I48" s="3"/>
      <c r="J48" s="4" t="s">
        <v>222</v>
      </c>
      <c r="K48" s="3" t="s">
        <v>31</v>
      </c>
      <c r="L48" s="3" t="s">
        <v>32</v>
      </c>
      <c r="M48" s="3" t="n">
        <v>150</v>
      </c>
      <c r="N48" s="3" t="n">
        <v>4</v>
      </c>
      <c r="O48" s="3" t="s">
        <v>91</v>
      </c>
      <c r="P48" s="3" t="s">
        <v>57</v>
      </c>
      <c r="Q48" s="3" t="s">
        <v>48</v>
      </c>
      <c r="R48" s="3" t="s">
        <v>144</v>
      </c>
      <c r="S48" s="5" t="n">
        <v>46002</v>
      </c>
      <c r="T48" s="5" t="n">
        <v>46023</v>
      </c>
      <c r="U48" s="3"/>
      <c r="V48" s="3" t="n">
        <f aca="false">COUNTIFS(Colours!$A$2:$A$742,$A48,Colours!$D$2:$D$742,"Ordered")</f>
        <v>2</v>
      </c>
    </row>
    <row r="49" customFormat="false" ht="15" hidden="false" customHeight="false" outlineLevel="0" collapsed="false">
      <c r="A49" s="3" t="s">
        <v>223</v>
      </c>
      <c r="B49" s="3" t="s">
        <v>70</v>
      </c>
      <c r="C49" s="3" t="s">
        <v>24</v>
      </c>
      <c r="D49" s="3" t="s">
        <v>71</v>
      </c>
      <c r="E49" s="3" t="s">
        <v>72</v>
      </c>
      <c r="F49" s="3" t="s">
        <v>73</v>
      </c>
      <c r="G49" s="3" t="s">
        <v>74</v>
      </c>
      <c r="H49" s="3" t="s">
        <v>224</v>
      </c>
      <c r="I49" s="3" t="s">
        <v>30</v>
      </c>
      <c r="J49" s="4" t="n">
        <v>25.14</v>
      </c>
      <c r="K49" s="3" t="s">
        <v>31</v>
      </c>
      <c r="L49" s="3" t="s">
        <v>32</v>
      </c>
      <c r="M49" s="3" t="n">
        <v>300</v>
      </c>
      <c r="N49" s="3" t="n">
        <v>3</v>
      </c>
      <c r="O49" s="3" t="s">
        <v>33</v>
      </c>
      <c r="P49" s="3" t="s">
        <v>34</v>
      </c>
      <c r="Q49" s="3" t="s">
        <v>48</v>
      </c>
      <c r="R49" s="3" t="s">
        <v>58</v>
      </c>
      <c r="S49" s="5" t="n">
        <v>46003</v>
      </c>
      <c r="T49" s="5" t="n">
        <v>46065</v>
      </c>
      <c r="U49" s="3"/>
      <c r="V49" s="3" t="n">
        <f aca="false">COUNTIFS(Colours!$A$2:$A$742,$A49,Colours!$D$2:$D$742,"Ordered")</f>
        <v>2</v>
      </c>
    </row>
    <row r="50" customFormat="false" ht="15" hidden="false" customHeight="false" outlineLevel="0" collapsed="false">
      <c r="A50" s="3" t="s">
        <v>225</v>
      </c>
      <c r="B50" s="3" t="s">
        <v>70</v>
      </c>
      <c r="C50" s="3" t="s">
        <v>24</v>
      </c>
      <c r="D50" s="3" t="s">
        <v>71</v>
      </c>
      <c r="E50" s="3" t="s">
        <v>72</v>
      </c>
      <c r="F50" s="3" t="s">
        <v>73</v>
      </c>
      <c r="G50" s="3" t="s">
        <v>74</v>
      </c>
      <c r="H50" s="3" t="s">
        <v>226</v>
      </c>
      <c r="I50" s="3" t="s">
        <v>198</v>
      </c>
      <c r="J50" s="4" t="n">
        <v>18.9</v>
      </c>
      <c r="K50" s="3" t="s">
        <v>31</v>
      </c>
      <c r="L50" s="3" t="s">
        <v>32</v>
      </c>
      <c r="M50" s="3" t="n">
        <v>50</v>
      </c>
      <c r="N50" s="3" t="n">
        <v>3</v>
      </c>
      <c r="O50" s="3" t="s">
        <v>33</v>
      </c>
      <c r="P50" s="3" t="s">
        <v>34</v>
      </c>
      <c r="Q50" s="3" t="s">
        <v>35</v>
      </c>
      <c r="R50" s="3" t="s">
        <v>144</v>
      </c>
      <c r="S50" s="5" t="n">
        <v>45988</v>
      </c>
      <c r="T50" s="5" t="n">
        <v>46051</v>
      </c>
      <c r="U50" s="3"/>
      <c r="V50" s="3" t="n">
        <f aca="false">COUNTIFS(Colours!$A$2:$A$742,$A50,Colours!$D$2:$D$742,"Ordered")</f>
        <v>1</v>
      </c>
    </row>
    <row r="51" customFormat="false" ht="15" hidden="false" customHeight="false" outlineLevel="0" collapsed="false">
      <c r="A51" s="3" t="s">
        <v>227</v>
      </c>
      <c r="B51" s="3" t="s">
        <v>162</v>
      </c>
      <c r="C51" s="3" t="s">
        <v>24</v>
      </c>
      <c r="D51" s="3" t="s">
        <v>84</v>
      </c>
      <c r="E51" s="3" t="s">
        <v>85</v>
      </c>
      <c r="F51" s="3" t="s">
        <v>86</v>
      </c>
      <c r="G51" s="3" t="s">
        <v>87</v>
      </c>
      <c r="H51" s="3" t="s">
        <v>143</v>
      </c>
      <c r="I51" s="3" t="s">
        <v>89</v>
      </c>
      <c r="J51" s="4" t="n">
        <v>11.94</v>
      </c>
      <c r="K51" s="3" t="s">
        <v>31</v>
      </c>
      <c r="L51" s="3" t="s">
        <v>90</v>
      </c>
      <c r="M51" s="3" t="n">
        <v>500</v>
      </c>
      <c r="N51" s="3" t="n">
        <v>5</v>
      </c>
      <c r="O51" s="3" t="s">
        <v>91</v>
      </c>
      <c r="P51" s="3" t="s">
        <v>92</v>
      </c>
      <c r="Q51" s="3" t="s">
        <v>48</v>
      </c>
      <c r="R51" s="3" t="s">
        <v>49</v>
      </c>
      <c r="S51" s="5" t="n">
        <v>46003</v>
      </c>
      <c r="T51" s="5" t="n">
        <v>46139</v>
      </c>
      <c r="U51" s="3"/>
      <c r="V51" s="3" t="n">
        <f aca="false">COUNTIFS(Colours!$A$2:$A$742,$A51,Colours!$D$2:$D$742,"Ordered")</f>
        <v>3</v>
      </c>
    </row>
    <row r="52" customFormat="false" ht="15" hidden="false" customHeight="false" outlineLevel="0" collapsed="false">
      <c r="A52" s="3" t="s">
        <v>228</v>
      </c>
      <c r="B52" s="3" t="s">
        <v>126</v>
      </c>
      <c r="C52" s="3" t="s">
        <v>24</v>
      </c>
      <c r="D52" s="3" t="s">
        <v>84</v>
      </c>
      <c r="E52" s="3" t="s">
        <v>85</v>
      </c>
      <c r="F52" s="3" t="s">
        <v>86</v>
      </c>
      <c r="G52" s="3" t="s">
        <v>118</v>
      </c>
      <c r="H52" s="3" t="s">
        <v>165</v>
      </c>
      <c r="I52" s="3" t="s">
        <v>123</v>
      </c>
      <c r="J52" s="4" t="n">
        <v>11.52</v>
      </c>
      <c r="K52" s="3" t="s">
        <v>31</v>
      </c>
      <c r="L52" s="3" t="s">
        <v>90</v>
      </c>
      <c r="M52" s="3" t="n">
        <v>500</v>
      </c>
      <c r="N52" s="3" t="n">
        <v>11</v>
      </c>
      <c r="O52" s="3" t="s">
        <v>91</v>
      </c>
      <c r="P52" s="3" t="s">
        <v>128</v>
      </c>
      <c r="Q52" s="3" t="s">
        <v>48</v>
      </c>
      <c r="R52" s="3" t="s">
        <v>36</v>
      </c>
      <c r="S52" s="5" t="n">
        <v>45983</v>
      </c>
      <c r="T52" s="5" t="n">
        <v>45997</v>
      </c>
      <c r="U52" s="3"/>
      <c r="V52" s="3" t="n">
        <f aca="false">COUNTIFS(Colours!$A$2:$A$742,$A52,Colours!$D$2:$D$742,"Ordered")</f>
        <v>4</v>
      </c>
    </row>
    <row r="53" customFormat="false" ht="15" hidden="false" customHeight="false" outlineLevel="0" collapsed="false">
      <c r="A53" s="3" t="s">
        <v>229</v>
      </c>
      <c r="B53" s="3" t="s">
        <v>148</v>
      </c>
      <c r="C53" s="3" t="s">
        <v>24</v>
      </c>
      <c r="D53" s="3" t="s">
        <v>25</v>
      </c>
      <c r="E53" s="3" t="s">
        <v>26</v>
      </c>
      <c r="F53" s="3" t="s">
        <v>99</v>
      </c>
      <c r="G53" s="3" t="s">
        <v>210</v>
      </c>
      <c r="H53" s="3" t="s">
        <v>230</v>
      </c>
      <c r="I53" s="3" t="s">
        <v>102</v>
      </c>
      <c r="J53" s="4" t="n">
        <v>61.77</v>
      </c>
      <c r="K53" s="3" t="s">
        <v>31</v>
      </c>
      <c r="L53" s="3" t="s">
        <v>32</v>
      </c>
      <c r="M53" s="3" t="n">
        <v>300</v>
      </c>
      <c r="N53" s="3" t="n">
        <v>4</v>
      </c>
      <c r="O53" s="3" t="s">
        <v>33</v>
      </c>
      <c r="P53" s="3"/>
      <c r="Q53" s="3" t="s">
        <v>48</v>
      </c>
      <c r="R53" s="3" t="s">
        <v>58</v>
      </c>
      <c r="S53" s="5" t="n">
        <v>45995</v>
      </c>
      <c r="T53" s="5" t="n">
        <v>46054</v>
      </c>
      <c r="U53" s="3" t="s">
        <v>129</v>
      </c>
      <c r="V53" s="3" t="n">
        <f aca="false">COUNTIFS(Colours!$A$2:$A$742,$A53,Colours!$D$2:$D$742,"Ordered")</f>
        <v>0</v>
      </c>
    </row>
    <row r="54" customFormat="false" ht="15" hidden="false" customHeight="false" outlineLevel="0" collapsed="false">
      <c r="A54" s="3" t="s">
        <v>231</v>
      </c>
      <c r="B54" s="3" t="s">
        <v>204</v>
      </c>
      <c r="C54" s="3" t="s">
        <v>24</v>
      </c>
      <c r="D54" s="3" t="s">
        <v>155</v>
      </c>
      <c r="E54" s="3" t="s">
        <v>156</v>
      </c>
      <c r="F54" s="3" t="s">
        <v>99</v>
      </c>
      <c r="G54" s="3" t="s">
        <v>160</v>
      </c>
      <c r="H54" s="3" t="s">
        <v>232</v>
      </c>
      <c r="I54" s="3" t="s">
        <v>206</v>
      </c>
      <c r="J54" s="4"/>
      <c r="K54" s="3" t="s">
        <v>31</v>
      </c>
      <c r="L54" s="3" t="s">
        <v>32</v>
      </c>
      <c r="M54" s="3" t="n">
        <v>100</v>
      </c>
      <c r="N54" s="3" t="n">
        <v>9</v>
      </c>
      <c r="O54" s="3" t="s">
        <v>91</v>
      </c>
      <c r="P54" s="3" t="s">
        <v>34</v>
      </c>
      <c r="Q54" s="3" t="s">
        <v>48</v>
      </c>
      <c r="R54" s="3" t="s">
        <v>144</v>
      </c>
      <c r="S54" s="5" t="n">
        <v>45981</v>
      </c>
      <c r="T54" s="5" t="n">
        <v>46022</v>
      </c>
      <c r="U54" s="3"/>
      <c r="V54" s="3" t="n">
        <f aca="false">COUNTIFS(Colours!$A$2:$A$742,$A54,Colours!$D$2:$D$742,"Ordered")</f>
        <v>1</v>
      </c>
    </row>
    <row r="55" customFormat="false" ht="15" hidden="false" customHeight="false" outlineLevel="0" collapsed="false">
      <c r="A55" s="3" t="s">
        <v>233</v>
      </c>
      <c r="B55" s="3" t="s">
        <v>234</v>
      </c>
      <c r="C55" s="3" t="s">
        <v>24</v>
      </c>
      <c r="D55" s="3" t="s">
        <v>155</v>
      </c>
      <c r="E55" s="3" t="s">
        <v>156</v>
      </c>
      <c r="F55" s="3" t="s">
        <v>27</v>
      </c>
      <c r="G55" s="3" t="s">
        <v>140</v>
      </c>
      <c r="H55" s="3" t="s">
        <v>235</v>
      </c>
      <c r="I55" s="3" t="s">
        <v>134</v>
      </c>
      <c r="J55" s="4" t="n">
        <v>37.59</v>
      </c>
      <c r="K55" s="3" t="s">
        <v>31</v>
      </c>
      <c r="L55" s="3" t="s">
        <v>32</v>
      </c>
      <c r="M55" s="3" t="n">
        <v>100</v>
      </c>
      <c r="N55" s="3" t="n">
        <v>3</v>
      </c>
      <c r="O55" s="3" t="s">
        <v>91</v>
      </c>
      <c r="P55" s="3"/>
      <c r="Q55" s="3" t="s">
        <v>68</v>
      </c>
      <c r="R55" s="3" t="s">
        <v>80</v>
      </c>
      <c r="S55" s="5" t="n">
        <v>45976</v>
      </c>
      <c r="T55" s="5" t="n">
        <v>45987</v>
      </c>
      <c r="U55" s="3"/>
      <c r="V55" s="3" t="n">
        <f aca="false">COUNTIFS(Colours!$A$2:$A$742,$A55,Colours!$D$2:$D$742,"Ordered")</f>
        <v>2</v>
      </c>
    </row>
    <row r="56" customFormat="false" ht="15" hidden="false" customHeight="false" outlineLevel="0" collapsed="false">
      <c r="A56" s="3" t="s">
        <v>236</v>
      </c>
      <c r="B56" s="3" t="s">
        <v>109</v>
      </c>
      <c r="C56" s="3" t="s">
        <v>24</v>
      </c>
      <c r="D56" s="3" t="s">
        <v>116</v>
      </c>
      <c r="E56" s="3" t="s">
        <v>117</v>
      </c>
      <c r="F56" s="3" t="s">
        <v>86</v>
      </c>
      <c r="G56" s="3" t="s">
        <v>127</v>
      </c>
      <c r="H56" s="3" t="s">
        <v>237</v>
      </c>
      <c r="I56" s="3" t="s">
        <v>123</v>
      </c>
      <c r="J56" s="4" t="n">
        <v>12.75</v>
      </c>
      <c r="K56" s="3" t="s">
        <v>31</v>
      </c>
      <c r="L56" s="3" t="s">
        <v>90</v>
      </c>
      <c r="M56" s="3" t="n">
        <v>200</v>
      </c>
      <c r="N56" s="3" t="n">
        <v>6</v>
      </c>
      <c r="O56" s="3" t="s">
        <v>91</v>
      </c>
      <c r="P56" s="3" t="s">
        <v>92</v>
      </c>
      <c r="Q56" s="3" t="s">
        <v>35</v>
      </c>
      <c r="R56" s="3" t="s">
        <v>49</v>
      </c>
      <c r="S56" s="5" t="n">
        <v>46013</v>
      </c>
      <c r="T56" s="5" t="n">
        <v>46144</v>
      </c>
      <c r="U56" s="3" t="s">
        <v>158</v>
      </c>
      <c r="V56" s="3" t="n">
        <f aca="false">COUNTIFS(Colours!$A$2:$A$742,$A56,Colours!$D$2:$D$742,"Ordered")</f>
        <v>5</v>
      </c>
    </row>
    <row r="57" customFormat="false" ht="15" hidden="false" customHeight="false" outlineLevel="0" collapsed="false">
      <c r="A57" s="3" t="s">
        <v>238</v>
      </c>
      <c r="B57" s="3" t="s">
        <v>239</v>
      </c>
      <c r="C57" s="3" t="s">
        <v>24</v>
      </c>
      <c r="D57" s="3" t="s">
        <v>40</v>
      </c>
      <c r="E57" s="3" t="s">
        <v>41</v>
      </c>
      <c r="F57" s="3" t="s">
        <v>42</v>
      </c>
      <c r="G57" s="3"/>
      <c r="H57" s="3" t="s">
        <v>240</v>
      </c>
      <c r="I57" s="3" t="s">
        <v>198</v>
      </c>
      <c r="J57" s="4" t="n">
        <v>14.38</v>
      </c>
      <c r="K57" s="3" t="s">
        <v>31</v>
      </c>
      <c r="L57" s="3" t="s">
        <v>32</v>
      </c>
      <c r="M57" s="3" t="n">
        <v>100</v>
      </c>
      <c r="N57" s="3" t="n">
        <v>12</v>
      </c>
      <c r="O57" s="3" t="s">
        <v>46</v>
      </c>
      <c r="P57" s="3" t="s">
        <v>47</v>
      </c>
      <c r="Q57" s="3" t="s">
        <v>48</v>
      </c>
      <c r="R57" s="3" t="s">
        <v>58</v>
      </c>
      <c r="S57" s="5" t="n">
        <v>45982</v>
      </c>
      <c r="T57" s="5" t="n">
        <v>46075</v>
      </c>
      <c r="U57" s="3"/>
      <c r="V57" s="3" t="n">
        <f aca="false">COUNTIFS(Colours!$A$2:$A$742,$A57,Colours!$D$2:$D$742,"Ordered")</f>
        <v>2</v>
      </c>
    </row>
    <row r="58" customFormat="false" ht="15" hidden="false" customHeight="false" outlineLevel="0" collapsed="false">
      <c r="A58" s="3" t="s">
        <v>241</v>
      </c>
      <c r="B58" s="3" t="s">
        <v>242</v>
      </c>
      <c r="C58" s="3" t="s">
        <v>24</v>
      </c>
      <c r="D58" s="3" t="s">
        <v>71</v>
      </c>
      <c r="E58" s="3" t="s">
        <v>72</v>
      </c>
      <c r="F58" s="3" t="s">
        <v>73</v>
      </c>
      <c r="G58" s="3" t="s">
        <v>106</v>
      </c>
      <c r="H58" s="3" t="s">
        <v>243</v>
      </c>
      <c r="I58" s="3" t="s">
        <v>45</v>
      </c>
      <c r="J58" s="4"/>
      <c r="K58" s="3" t="s">
        <v>31</v>
      </c>
      <c r="L58" s="3" t="s">
        <v>32</v>
      </c>
      <c r="M58" s="3" t="n">
        <v>150</v>
      </c>
      <c r="N58" s="3" t="n">
        <v>5</v>
      </c>
      <c r="O58" s="3" t="s">
        <v>33</v>
      </c>
      <c r="P58" s="3" t="s">
        <v>34</v>
      </c>
      <c r="Q58" s="3" t="s">
        <v>68</v>
      </c>
      <c r="R58" s="3" t="s">
        <v>36</v>
      </c>
      <c r="S58" s="5" t="n">
        <v>45986</v>
      </c>
      <c r="T58" s="5" t="n">
        <v>46121</v>
      </c>
      <c r="U58" s="3"/>
      <c r="V58" s="3" t="n">
        <f aca="false">COUNTIFS(Colours!$A$2:$A$742,$A58,Colours!$D$2:$D$742,"Ordered")</f>
        <v>2</v>
      </c>
    </row>
    <row r="59" customFormat="false" ht="15" hidden="false" customHeight="false" outlineLevel="0" collapsed="false">
      <c r="A59" s="3" t="s">
        <v>244</v>
      </c>
      <c r="B59" s="3" t="s">
        <v>212</v>
      </c>
      <c r="C59" s="3" t="s">
        <v>24</v>
      </c>
      <c r="D59" s="3" t="s">
        <v>155</v>
      </c>
      <c r="E59" s="3" t="s">
        <v>156</v>
      </c>
      <c r="F59" s="3" t="s">
        <v>54</v>
      </c>
      <c r="G59" s="3"/>
      <c r="H59" s="3"/>
      <c r="I59" s="3" t="s">
        <v>45</v>
      </c>
      <c r="J59" s="4"/>
      <c r="K59" s="3" t="s">
        <v>31</v>
      </c>
      <c r="L59" s="3" t="s">
        <v>32</v>
      </c>
      <c r="M59" s="3" t="n">
        <v>100</v>
      </c>
      <c r="N59" s="3"/>
      <c r="O59" s="3" t="s">
        <v>91</v>
      </c>
      <c r="P59" s="3"/>
      <c r="Q59" s="3" t="s">
        <v>48</v>
      </c>
      <c r="R59" s="3" t="s">
        <v>36</v>
      </c>
      <c r="S59" s="5" t="n">
        <v>45996</v>
      </c>
      <c r="T59" s="5" t="n">
        <v>46124</v>
      </c>
      <c r="U59" s="3"/>
      <c r="V59" s="3" t="n">
        <f aca="false">COUNTIFS(Colours!$A$2:$A$742,$A59,Colours!$D$2:$D$742,"Ordered")</f>
        <v>1</v>
      </c>
    </row>
    <row r="60" customFormat="false" ht="15" hidden="false" customHeight="false" outlineLevel="0" collapsed="false">
      <c r="A60" s="3" t="s">
        <v>245</v>
      </c>
      <c r="B60" s="3" t="s">
        <v>246</v>
      </c>
      <c r="C60" s="3" t="s">
        <v>24</v>
      </c>
      <c r="D60" s="3" t="s">
        <v>25</v>
      </c>
      <c r="E60" s="3" t="s">
        <v>26</v>
      </c>
      <c r="F60" s="3" t="s">
        <v>27</v>
      </c>
      <c r="G60" s="3" t="s">
        <v>132</v>
      </c>
      <c r="H60" s="3" t="s">
        <v>247</v>
      </c>
      <c r="I60" s="3" t="s">
        <v>134</v>
      </c>
      <c r="J60" s="4" t="n">
        <v>53.71</v>
      </c>
      <c r="K60" s="3" t="s">
        <v>31</v>
      </c>
      <c r="L60" s="3" t="s">
        <v>32</v>
      </c>
      <c r="M60" s="3" t="n">
        <v>150</v>
      </c>
      <c r="N60" s="3"/>
      <c r="O60" s="3" t="s">
        <v>33</v>
      </c>
      <c r="P60" s="3" t="s">
        <v>103</v>
      </c>
      <c r="Q60" s="3" t="s">
        <v>68</v>
      </c>
      <c r="R60" s="3" t="s">
        <v>36</v>
      </c>
      <c r="S60" s="5" t="n">
        <v>45993</v>
      </c>
      <c r="T60" s="5" t="n">
        <v>46033</v>
      </c>
      <c r="U60" s="3"/>
      <c r="V60" s="3" t="n">
        <f aca="false">COUNTIFS(Colours!$A$2:$A$742,$A60,Colours!$D$2:$D$742,"Ordered")</f>
        <v>1</v>
      </c>
    </row>
    <row r="61" customFormat="false" ht="15" hidden="false" customHeight="false" outlineLevel="0" collapsed="false">
      <c r="A61" s="3" t="s">
        <v>248</v>
      </c>
      <c r="B61" s="3" t="s">
        <v>249</v>
      </c>
      <c r="C61" s="3" t="s">
        <v>24</v>
      </c>
      <c r="D61" s="3" t="s">
        <v>40</v>
      </c>
      <c r="E61" s="3" t="s">
        <v>41</v>
      </c>
      <c r="F61" s="3" t="s">
        <v>54</v>
      </c>
      <c r="G61" s="3" t="s">
        <v>55</v>
      </c>
      <c r="H61" s="3" t="s">
        <v>250</v>
      </c>
      <c r="I61" s="3" t="s">
        <v>96</v>
      </c>
      <c r="J61" s="4" t="n">
        <v>25.11</v>
      </c>
      <c r="K61" s="3" t="s">
        <v>31</v>
      </c>
      <c r="L61" s="3" t="s">
        <v>32</v>
      </c>
      <c r="M61" s="3" t="n">
        <v>100</v>
      </c>
      <c r="N61" s="3" t="n">
        <v>13</v>
      </c>
      <c r="O61" s="3" t="s">
        <v>46</v>
      </c>
      <c r="P61" s="3" t="s">
        <v>152</v>
      </c>
      <c r="Q61" s="3" t="s">
        <v>48</v>
      </c>
      <c r="R61" s="3" t="s">
        <v>36</v>
      </c>
      <c r="S61" s="5" t="n">
        <v>46010</v>
      </c>
      <c r="T61" s="5" t="n">
        <v>46141</v>
      </c>
      <c r="U61" s="3"/>
      <c r="V61" s="3" t="n">
        <f aca="false">COUNTIFS(Colours!$A$2:$A$742,$A61,Colours!$D$2:$D$742,"Ordered")</f>
        <v>1</v>
      </c>
    </row>
    <row r="62" customFormat="false" ht="15" hidden="false" customHeight="false" outlineLevel="0" collapsed="false">
      <c r="A62" s="3" t="s">
        <v>251</v>
      </c>
      <c r="B62" s="3" t="s">
        <v>252</v>
      </c>
      <c r="C62" s="3" t="s">
        <v>24</v>
      </c>
      <c r="D62" s="3" t="s">
        <v>25</v>
      </c>
      <c r="E62" s="3" t="s">
        <v>26</v>
      </c>
      <c r="F62" s="3" t="s">
        <v>27</v>
      </c>
      <c r="G62" s="3" t="s">
        <v>94</v>
      </c>
      <c r="H62" s="3" t="s">
        <v>253</v>
      </c>
      <c r="I62" s="3" t="s">
        <v>30</v>
      </c>
      <c r="J62" s="4" t="n">
        <v>34.69</v>
      </c>
      <c r="K62" s="3" t="s">
        <v>31</v>
      </c>
      <c r="L62" s="3" t="s">
        <v>32</v>
      </c>
      <c r="M62" s="3" t="n">
        <v>50</v>
      </c>
      <c r="N62" s="3" t="n">
        <v>13</v>
      </c>
      <c r="O62" s="3" t="s">
        <v>33</v>
      </c>
      <c r="P62" s="3" t="s">
        <v>103</v>
      </c>
      <c r="Q62" s="3" t="s">
        <v>35</v>
      </c>
      <c r="R62" s="3" t="s">
        <v>80</v>
      </c>
      <c r="S62" s="5" t="n">
        <v>45998</v>
      </c>
      <c r="T62" s="5" t="n">
        <v>46043</v>
      </c>
      <c r="U62" s="3" t="s">
        <v>158</v>
      </c>
      <c r="V62" s="3" t="n">
        <f aca="false">COUNTIFS(Colours!$A$2:$A$742,$A62,Colours!$D$2:$D$742,"Ordered")</f>
        <v>5</v>
      </c>
    </row>
    <row r="63" customFormat="false" ht="15" hidden="false" customHeight="false" outlineLevel="0" collapsed="false">
      <c r="A63" s="3" t="s">
        <v>254</v>
      </c>
      <c r="B63" s="3" t="s">
        <v>162</v>
      </c>
      <c r="C63" s="3" t="s">
        <v>24</v>
      </c>
      <c r="D63" s="3" t="s">
        <v>84</v>
      </c>
      <c r="E63" s="3" t="s">
        <v>85</v>
      </c>
      <c r="F63" s="3" t="s">
        <v>86</v>
      </c>
      <c r="G63" s="3" t="s">
        <v>118</v>
      </c>
      <c r="H63" s="3" t="s">
        <v>122</v>
      </c>
      <c r="I63" s="3" t="s">
        <v>113</v>
      </c>
      <c r="J63" s="4" t="n">
        <v>15.34</v>
      </c>
      <c r="K63" s="3" t="s">
        <v>31</v>
      </c>
      <c r="L63" s="3" t="s">
        <v>90</v>
      </c>
      <c r="M63" s="3" t="n">
        <v>200</v>
      </c>
      <c r="N63" s="3" t="n">
        <v>7</v>
      </c>
      <c r="O63" s="3" t="s">
        <v>91</v>
      </c>
      <c r="P63" s="3" t="s">
        <v>128</v>
      </c>
      <c r="Q63" s="3" t="s">
        <v>35</v>
      </c>
      <c r="R63" s="3" t="s">
        <v>49</v>
      </c>
      <c r="S63" s="5" t="n">
        <v>46003</v>
      </c>
      <c r="T63" s="5" t="n">
        <v>46136</v>
      </c>
      <c r="U63" s="3" t="s">
        <v>158</v>
      </c>
      <c r="V63" s="3" t="n">
        <f aca="false">COUNTIFS(Colours!$A$2:$A$742,$A63,Colours!$D$2:$D$742,"Ordered")</f>
        <v>3</v>
      </c>
    </row>
    <row r="64" customFormat="false" ht="15" hidden="false" customHeight="false" outlineLevel="0" collapsed="false">
      <c r="A64" s="3" t="s">
        <v>255</v>
      </c>
      <c r="B64" s="3" t="s">
        <v>256</v>
      </c>
      <c r="C64" s="3" t="s">
        <v>24</v>
      </c>
      <c r="D64" s="3" t="s">
        <v>40</v>
      </c>
      <c r="E64" s="3" t="s">
        <v>41</v>
      </c>
      <c r="F64" s="3" t="s">
        <v>42</v>
      </c>
      <c r="G64" s="3" t="s">
        <v>43</v>
      </c>
      <c r="H64" s="3" t="s">
        <v>257</v>
      </c>
      <c r="I64" s="3" t="s">
        <v>198</v>
      </c>
      <c r="J64" s="4" t="n">
        <v>20.64</v>
      </c>
      <c r="K64" s="3" t="s">
        <v>31</v>
      </c>
      <c r="L64" s="3" t="s">
        <v>32</v>
      </c>
      <c r="M64" s="3" t="n">
        <v>50</v>
      </c>
      <c r="N64" s="3"/>
      <c r="O64" s="3" t="s">
        <v>46</v>
      </c>
      <c r="P64" s="3" t="s">
        <v>47</v>
      </c>
      <c r="Q64" s="3" t="s">
        <v>68</v>
      </c>
      <c r="R64" s="3" t="s">
        <v>80</v>
      </c>
      <c r="S64" s="5" t="n">
        <v>45999</v>
      </c>
      <c r="T64" s="5" t="n">
        <v>46068</v>
      </c>
      <c r="U64" s="3"/>
      <c r="V64" s="3" t="n">
        <f aca="false">COUNTIFS(Colours!$A$2:$A$742,$A64,Colours!$D$2:$D$742,"Ordered")</f>
        <v>1</v>
      </c>
    </row>
    <row r="65" customFormat="false" ht="15" hidden="false" customHeight="false" outlineLevel="0" collapsed="false">
      <c r="A65" s="3" t="s">
        <v>258</v>
      </c>
      <c r="B65" s="3" t="s">
        <v>70</v>
      </c>
      <c r="C65" s="3" t="s">
        <v>24</v>
      </c>
      <c r="D65" s="3" t="s">
        <v>71</v>
      </c>
      <c r="E65" s="3" t="s">
        <v>72</v>
      </c>
      <c r="F65" s="3" t="s">
        <v>73</v>
      </c>
      <c r="G65" s="3" t="s">
        <v>106</v>
      </c>
      <c r="H65" s="3" t="s">
        <v>259</v>
      </c>
      <c r="I65" s="3" t="s">
        <v>30</v>
      </c>
      <c r="J65" s="4" t="n">
        <v>31.87</v>
      </c>
      <c r="K65" s="3" t="s">
        <v>31</v>
      </c>
      <c r="L65" s="3" t="s">
        <v>32</v>
      </c>
      <c r="M65" s="3" t="n">
        <v>50</v>
      </c>
      <c r="N65" s="3" t="n">
        <v>10</v>
      </c>
      <c r="O65" s="3" t="s">
        <v>33</v>
      </c>
      <c r="P65" s="3" t="s">
        <v>76</v>
      </c>
      <c r="Q65" s="3" t="s">
        <v>68</v>
      </c>
      <c r="R65" s="3" t="s">
        <v>80</v>
      </c>
      <c r="S65" s="5" t="n">
        <v>46014</v>
      </c>
      <c r="T65" s="5" t="n">
        <v>46139</v>
      </c>
      <c r="U65" s="3"/>
      <c r="V65" s="3" t="n">
        <f aca="false">COUNTIFS(Colours!$A$2:$A$742,$A65,Colours!$D$2:$D$742,"Ordered")</f>
        <v>5</v>
      </c>
    </row>
    <row r="66" customFormat="false" ht="15" hidden="false" customHeight="false" outlineLevel="0" collapsed="false">
      <c r="A66" s="3" t="s">
        <v>260</v>
      </c>
      <c r="B66" s="3" t="s">
        <v>239</v>
      </c>
      <c r="C66" s="3" t="s">
        <v>24</v>
      </c>
      <c r="D66" s="3" t="s">
        <v>62</v>
      </c>
      <c r="E66" s="3" t="s">
        <v>63</v>
      </c>
      <c r="F66" s="3" t="s">
        <v>42</v>
      </c>
      <c r="G66" s="3" t="s">
        <v>261</v>
      </c>
      <c r="H66" s="3" t="s">
        <v>262</v>
      </c>
      <c r="I66" s="3"/>
      <c r="J66" s="4" t="n">
        <v>18.84</v>
      </c>
      <c r="K66" s="3" t="s">
        <v>31</v>
      </c>
      <c r="L66" s="3" t="s">
        <v>32</v>
      </c>
      <c r="M66" s="3" t="n">
        <v>100</v>
      </c>
      <c r="N66" s="3" t="n">
        <v>8</v>
      </c>
      <c r="O66" s="3" t="s">
        <v>67</v>
      </c>
      <c r="P66" s="3" t="s">
        <v>34</v>
      </c>
      <c r="Q66" s="3" t="s">
        <v>48</v>
      </c>
      <c r="R66" s="3" t="s">
        <v>80</v>
      </c>
      <c r="S66" s="5" t="n">
        <v>46012</v>
      </c>
      <c r="T66" s="5" t="n">
        <v>46031</v>
      </c>
      <c r="U66" s="3"/>
      <c r="V66" s="3" t="n">
        <f aca="false">COUNTIFS(Colours!$A$2:$A$742,$A66,Colours!$D$2:$D$742,"Ordered")</f>
        <v>2</v>
      </c>
    </row>
    <row r="67" customFormat="false" ht="15" hidden="false" customHeight="false" outlineLevel="0" collapsed="false">
      <c r="A67" s="3" t="s">
        <v>263</v>
      </c>
      <c r="B67" s="3" t="s">
        <v>252</v>
      </c>
      <c r="C67" s="3" t="s">
        <v>24</v>
      </c>
      <c r="D67" s="3" t="s">
        <v>25</v>
      </c>
      <c r="E67" s="3" t="s">
        <v>26</v>
      </c>
      <c r="F67" s="3" t="s">
        <v>27</v>
      </c>
      <c r="G67" s="3" t="s">
        <v>132</v>
      </c>
      <c r="H67" s="3" t="s">
        <v>264</v>
      </c>
      <c r="I67" s="3" t="s">
        <v>96</v>
      </c>
      <c r="J67" s="4" t="n">
        <v>38.22</v>
      </c>
      <c r="K67" s="3" t="s">
        <v>31</v>
      </c>
      <c r="L67" s="3" t="s">
        <v>32</v>
      </c>
      <c r="M67" s="3" t="n">
        <v>20</v>
      </c>
      <c r="N67" s="3" t="n">
        <v>5</v>
      </c>
      <c r="O67" s="3" t="s">
        <v>33</v>
      </c>
      <c r="P67" s="3" t="s">
        <v>103</v>
      </c>
      <c r="Q67" s="3" t="s">
        <v>48</v>
      </c>
      <c r="R67" s="3" t="s">
        <v>80</v>
      </c>
      <c r="S67" s="5" t="n">
        <v>45970</v>
      </c>
      <c r="T67" s="5" t="n">
        <v>46067</v>
      </c>
      <c r="U67" s="3"/>
      <c r="V67" s="3" t="n">
        <f aca="false">COUNTIFS(Colours!$A$2:$A$742,$A67,Colours!$D$2:$D$742,"Ordered")</f>
        <v>1</v>
      </c>
    </row>
    <row r="68" customFormat="false" ht="15" hidden="false" customHeight="false" outlineLevel="0" collapsed="false">
      <c r="A68" s="3" t="s">
        <v>265</v>
      </c>
      <c r="B68" s="3" t="s">
        <v>126</v>
      </c>
      <c r="C68" s="3" t="s">
        <v>24</v>
      </c>
      <c r="D68" s="3" t="s">
        <v>110</v>
      </c>
      <c r="E68" s="3" t="s">
        <v>111</v>
      </c>
      <c r="F68" s="3" t="s">
        <v>86</v>
      </c>
      <c r="G68" s="3" t="s">
        <v>146</v>
      </c>
      <c r="H68" s="3" t="s">
        <v>119</v>
      </c>
      <c r="I68" s="3" t="s">
        <v>123</v>
      </c>
      <c r="J68" s="4" t="n">
        <v>14.33</v>
      </c>
      <c r="K68" s="3" t="s">
        <v>31</v>
      </c>
      <c r="L68" s="3" t="s">
        <v>90</v>
      </c>
      <c r="M68" s="3" t="n">
        <v>500</v>
      </c>
      <c r="N68" s="3" t="n">
        <v>6</v>
      </c>
      <c r="O68" s="3" t="s">
        <v>33</v>
      </c>
      <c r="P68" s="3" t="s">
        <v>128</v>
      </c>
      <c r="Q68" s="3" t="s">
        <v>35</v>
      </c>
      <c r="R68" s="3" t="s">
        <v>144</v>
      </c>
      <c r="S68" s="5" t="n">
        <v>45998</v>
      </c>
      <c r="T68" s="5" t="n">
        <v>46027</v>
      </c>
      <c r="U68" s="3" t="s">
        <v>208</v>
      </c>
      <c r="V68" s="3" t="n">
        <f aca="false">COUNTIFS(Colours!$A$2:$A$742,$A68,Colours!$D$2:$D$742,"Ordered")</f>
        <v>4</v>
      </c>
    </row>
    <row r="69" customFormat="false" ht="15" hidden="false" customHeight="false" outlineLevel="0" collapsed="false">
      <c r="A69" s="3" t="s">
        <v>266</v>
      </c>
      <c r="B69" s="3" t="s">
        <v>98</v>
      </c>
      <c r="C69" s="3" t="s">
        <v>24</v>
      </c>
      <c r="D69" s="3" t="s">
        <v>25</v>
      </c>
      <c r="E69" s="3" t="s">
        <v>26</v>
      </c>
      <c r="F69" s="3" t="s">
        <v>99</v>
      </c>
      <c r="G69" s="3" t="s">
        <v>160</v>
      </c>
      <c r="H69" s="3" t="s">
        <v>267</v>
      </c>
      <c r="I69" s="3" t="s">
        <v>151</v>
      </c>
      <c r="J69" s="4" t="n">
        <v>64.33</v>
      </c>
      <c r="K69" s="3" t="s">
        <v>31</v>
      </c>
      <c r="L69" s="3" t="s">
        <v>32</v>
      </c>
      <c r="M69" s="3" t="n">
        <v>300</v>
      </c>
      <c r="N69" s="3" t="n">
        <v>6</v>
      </c>
      <c r="O69" s="3" t="s">
        <v>33</v>
      </c>
      <c r="P69" s="3" t="s">
        <v>34</v>
      </c>
      <c r="Q69" s="3" t="s">
        <v>35</v>
      </c>
      <c r="R69" s="3" t="s">
        <v>36</v>
      </c>
      <c r="S69" s="5" t="n">
        <v>45974</v>
      </c>
      <c r="T69" s="5" t="n">
        <v>46100</v>
      </c>
      <c r="U69" s="3"/>
      <c r="V69" s="3" t="n">
        <f aca="false">COUNTIFS(Colours!$A$2:$A$742,$A69,Colours!$D$2:$D$742,"Ordered")</f>
        <v>3</v>
      </c>
    </row>
    <row r="70" customFormat="false" ht="15" hidden="false" customHeight="false" outlineLevel="0" collapsed="false">
      <c r="A70" s="3" t="s">
        <v>268</v>
      </c>
      <c r="B70" s="3" t="s">
        <v>39</v>
      </c>
      <c r="C70" s="3" t="s">
        <v>24</v>
      </c>
      <c r="D70" s="3" t="s">
        <v>62</v>
      </c>
      <c r="E70" s="3" t="s">
        <v>63</v>
      </c>
      <c r="F70" s="3" t="s">
        <v>42</v>
      </c>
      <c r="G70" s="3" t="s">
        <v>261</v>
      </c>
      <c r="H70" s="3" t="s">
        <v>269</v>
      </c>
      <c r="I70" s="3" t="s">
        <v>30</v>
      </c>
      <c r="J70" s="4" t="n">
        <v>38.85</v>
      </c>
      <c r="K70" s="3" t="s">
        <v>31</v>
      </c>
      <c r="L70" s="3" t="s">
        <v>32</v>
      </c>
      <c r="M70" s="3" t="n">
        <v>20</v>
      </c>
      <c r="N70" s="3" t="n">
        <v>11</v>
      </c>
      <c r="O70" s="3" t="s">
        <v>67</v>
      </c>
      <c r="P70" s="3" t="s">
        <v>47</v>
      </c>
      <c r="Q70" s="3" t="s">
        <v>48</v>
      </c>
      <c r="R70" s="3" t="s">
        <v>80</v>
      </c>
      <c r="S70" s="5" t="n">
        <v>45989</v>
      </c>
      <c r="T70" s="5" t="n">
        <v>45997</v>
      </c>
      <c r="U70" s="3"/>
      <c r="V70" s="3" t="n">
        <f aca="false">COUNTIFS(Colours!$A$2:$A$742,$A70,Colours!$D$2:$D$742,"Ordered")</f>
        <v>4</v>
      </c>
    </row>
    <row r="71" customFormat="false" ht="15" hidden="false" customHeight="false" outlineLevel="0" collapsed="false">
      <c r="A71" s="3" t="s">
        <v>270</v>
      </c>
      <c r="B71" s="3" t="s">
        <v>83</v>
      </c>
      <c r="C71" s="3" t="s">
        <v>24</v>
      </c>
      <c r="D71" s="3" t="s">
        <v>116</v>
      </c>
      <c r="E71" s="3" t="s">
        <v>117</v>
      </c>
      <c r="F71" s="3" t="s">
        <v>86</v>
      </c>
      <c r="G71" s="3" t="s">
        <v>127</v>
      </c>
      <c r="H71" s="3"/>
      <c r="I71" s="3" t="s">
        <v>120</v>
      </c>
      <c r="J71" s="4" t="n">
        <v>7.04</v>
      </c>
      <c r="K71" s="3" t="s">
        <v>31</v>
      </c>
      <c r="L71" s="3" t="s">
        <v>90</v>
      </c>
      <c r="M71" s="3"/>
      <c r="N71" s="3" t="n">
        <v>8</v>
      </c>
      <c r="O71" s="3" t="s">
        <v>91</v>
      </c>
      <c r="P71" s="3" t="s">
        <v>92</v>
      </c>
      <c r="Q71" s="3" t="s">
        <v>48</v>
      </c>
      <c r="R71" s="3" t="s">
        <v>36</v>
      </c>
      <c r="S71" s="5" t="n">
        <v>45990</v>
      </c>
      <c r="T71" s="5" t="n">
        <v>46076</v>
      </c>
      <c r="U71" s="3"/>
      <c r="V71" s="3" t="n">
        <f aca="false">COUNTIFS(Colours!$A$2:$A$742,$A71,Colours!$D$2:$D$742,"Ordered")</f>
        <v>1</v>
      </c>
    </row>
    <row r="72" customFormat="false" ht="15" hidden="false" customHeight="false" outlineLevel="0" collapsed="false">
      <c r="A72" s="3" t="s">
        <v>271</v>
      </c>
      <c r="B72" s="3" t="s">
        <v>83</v>
      </c>
      <c r="C72" s="3" t="s">
        <v>272</v>
      </c>
      <c r="D72" s="3" t="s">
        <v>110</v>
      </c>
      <c r="E72" s="3" t="s">
        <v>111</v>
      </c>
      <c r="F72" s="3" t="s">
        <v>86</v>
      </c>
      <c r="G72" s="3" t="s">
        <v>146</v>
      </c>
      <c r="H72" s="3" t="s">
        <v>112</v>
      </c>
      <c r="I72" s="3" t="s">
        <v>120</v>
      </c>
      <c r="J72" s="4" t="n">
        <v>14.05</v>
      </c>
      <c r="K72" s="3" t="s">
        <v>31</v>
      </c>
      <c r="L72" s="3" t="s">
        <v>90</v>
      </c>
      <c r="M72" s="3" t="n">
        <v>200</v>
      </c>
      <c r="N72" s="3" t="n">
        <v>14</v>
      </c>
      <c r="O72" s="3" t="s">
        <v>33</v>
      </c>
      <c r="P72" s="3" t="s">
        <v>92</v>
      </c>
      <c r="Q72" s="3" t="s">
        <v>48</v>
      </c>
      <c r="R72" s="3" t="s">
        <v>80</v>
      </c>
      <c r="S72" s="5" t="n">
        <v>46105</v>
      </c>
      <c r="T72" s="5" t="n">
        <v>46200</v>
      </c>
      <c r="U72" s="3" t="s">
        <v>59</v>
      </c>
      <c r="V72" s="3" t="n">
        <f aca="false">COUNTIFS(Colours!$A$2:$A$742,$A72,Colours!$D$2:$D$742,"Ordered")</f>
        <v>6</v>
      </c>
    </row>
    <row r="73" customFormat="false" ht="15" hidden="false" customHeight="false" outlineLevel="0" collapsed="false">
      <c r="A73" s="3" t="s">
        <v>273</v>
      </c>
      <c r="B73" s="3" t="s">
        <v>171</v>
      </c>
      <c r="C73" s="3" t="s">
        <v>272</v>
      </c>
      <c r="D73" s="3" t="s">
        <v>172</v>
      </c>
      <c r="E73" s="3" t="s">
        <v>173</v>
      </c>
      <c r="F73" s="3" t="s">
        <v>174</v>
      </c>
      <c r="G73" s="3" t="s">
        <v>175</v>
      </c>
      <c r="H73" s="3" t="s">
        <v>274</v>
      </c>
      <c r="I73" s="3" t="s">
        <v>177</v>
      </c>
      <c r="J73" s="4" t="n">
        <v>81.85</v>
      </c>
      <c r="K73" s="3" t="s">
        <v>31</v>
      </c>
      <c r="L73" s="3" t="s">
        <v>178</v>
      </c>
      <c r="M73" s="3" t="n">
        <v>50</v>
      </c>
      <c r="N73" s="3" t="n">
        <v>9</v>
      </c>
      <c r="O73" s="3" t="s">
        <v>33</v>
      </c>
      <c r="P73" s="3" t="s">
        <v>103</v>
      </c>
      <c r="Q73" s="3" t="s">
        <v>68</v>
      </c>
      <c r="R73" s="3" t="s">
        <v>58</v>
      </c>
      <c r="S73" s="5" t="n">
        <v>46136</v>
      </c>
      <c r="T73" s="5" t="n">
        <v>46244</v>
      </c>
      <c r="U73" s="3"/>
      <c r="V73" s="3" t="n">
        <f aca="false">COUNTIFS(Colours!$A$2:$A$742,$A73,Colours!$D$2:$D$742,"Ordered")</f>
        <v>0</v>
      </c>
    </row>
    <row r="74" customFormat="false" ht="15" hidden="false" customHeight="false" outlineLevel="0" collapsed="false">
      <c r="A74" s="3" t="s">
        <v>275</v>
      </c>
      <c r="B74" s="3" t="s">
        <v>39</v>
      </c>
      <c r="C74" s="3" t="s">
        <v>272</v>
      </c>
      <c r="D74" s="3" t="s">
        <v>40</v>
      </c>
      <c r="E74" s="3" t="s">
        <v>41</v>
      </c>
      <c r="F74" s="3" t="s">
        <v>42</v>
      </c>
      <c r="G74" s="3" t="s">
        <v>218</v>
      </c>
      <c r="H74" s="3"/>
      <c r="I74" s="3" t="s">
        <v>198</v>
      </c>
      <c r="J74" s="4" t="s">
        <v>124</v>
      </c>
      <c r="K74" s="3" t="s">
        <v>31</v>
      </c>
      <c r="L74" s="3" t="s">
        <v>32</v>
      </c>
      <c r="M74" s="3" t="n">
        <v>150</v>
      </c>
      <c r="N74" s="3" t="n">
        <v>13</v>
      </c>
      <c r="O74" s="3" t="s">
        <v>46</v>
      </c>
      <c r="P74" s="3"/>
      <c r="Q74" s="3" t="s">
        <v>48</v>
      </c>
      <c r="R74" s="3" t="s">
        <v>36</v>
      </c>
      <c r="S74" s="5" t="n">
        <v>46125</v>
      </c>
      <c r="T74" s="5" t="n">
        <v>46244</v>
      </c>
      <c r="U74" s="3"/>
      <c r="V74" s="3" t="n">
        <f aca="false">COUNTIFS(Colours!$A$2:$A$742,$A74,Colours!$D$2:$D$742,"Ordered")</f>
        <v>0</v>
      </c>
    </row>
    <row r="75" customFormat="false" ht="15" hidden="false" customHeight="false" outlineLevel="0" collapsed="false">
      <c r="A75" s="3" t="s">
        <v>276</v>
      </c>
      <c r="B75" s="3" t="s">
        <v>242</v>
      </c>
      <c r="C75" s="3" t="s">
        <v>272</v>
      </c>
      <c r="D75" s="3" t="s">
        <v>71</v>
      </c>
      <c r="E75" s="3" t="s">
        <v>72</v>
      </c>
      <c r="F75" s="3" t="s">
        <v>73</v>
      </c>
      <c r="G75" s="3" t="s">
        <v>74</v>
      </c>
      <c r="H75" s="3" t="s">
        <v>277</v>
      </c>
      <c r="I75" s="3" t="s">
        <v>45</v>
      </c>
      <c r="J75" s="4" t="n">
        <v>31.83</v>
      </c>
      <c r="K75" s="3" t="s">
        <v>31</v>
      </c>
      <c r="L75" s="3" t="s">
        <v>32</v>
      </c>
      <c r="M75" s="3" t="n">
        <v>100</v>
      </c>
      <c r="N75" s="3" t="n">
        <v>7</v>
      </c>
      <c r="O75" s="3" t="s">
        <v>33</v>
      </c>
      <c r="P75" s="3" t="s">
        <v>76</v>
      </c>
      <c r="Q75" s="3" t="s">
        <v>48</v>
      </c>
      <c r="R75" s="3" t="s">
        <v>58</v>
      </c>
      <c r="S75" s="5" t="n">
        <v>46104</v>
      </c>
      <c r="T75" s="5" t="n">
        <v>46244</v>
      </c>
      <c r="U75" s="3"/>
      <c r="V75" s="3" t="n">
        <f aca="false">COUNTIFS(Colours!$A$2:$A$742,$A75,Colours!$D$2:$D$742,"Ordered")</f>
        <v>1</v>
      </c>
    </row>
    <row r="76" customFormat="false" ht="15" hidden="false" customHeight="false" outlineLevel="0" collapsed="false">
      <c r="A76" s="3" t="s">
        <v>278</v>
      </c>
      <c r="B76" s="3" t="s">
        <v>196</v>
      </c>
      <c r="C76" s="3" t="s">
        <v>272</v>
      </c>
      <c r="D76" s="3" t="s">
        <v>52</v>
      </c>
      <c r="E76" s="3" t="s">
        <v>53</v>
      </c>
      <c r="F76" s="3" t="s">
        <v>64</v>
      </c>
      <c r="G76" s="3" t="s">
        <v>65</v>
      </c>
      <c r="H76" s="3" t="s">
        <v>279</v>
      </c>
      <c r="I76" s="3" t="s">
        <v>198</v>
      </c>
      <c r="J76" s="4"/>
      <c r="K76" s="3" t="s">
        <v>31</v>
      </c>
      <c r="L76" s="3" t="s">
        <v>32</v>
      </c>
      <c r="M76" s="3" t="n">
        <v>150</v>
      </c>
      <c r="N76" s="3" t="s">
        <v>222</v>
      </c>
      <c r="O76" s="3" t="s">
        <v>33</v>
      </c>
      <c r="P76" s="3" t="s">
        <v>34</v>
      </c>
      <c r="Q76" s="3" t="s">
        <v>48</v>
      </c>
      <c r="R76" s="3" t="s">
        <v>58</v>
      </c>
      <c r="S76" s="5" t="n">
        <v>46129</v>
      </c>
      <c r="T76" s="5" t="n">
        <v>46193</v>
      </c>
      <c r="U76" s="3"/>
      <c r="V76" s="3" t="n">
        <f aca="false">COUNTIFS(Colours!$A$2:$A$742,$A76,Colours!$D$2:$D$742,"Ordered")</f>
        <v>0</v>
      </c>
    </row>
    <row r="77" customFormat="false" ht="15" hidden="false" customHeight="false" outlineLevel="0" collapsed="false">
      <c r="A77" s="3" t="s">
        <v>280</v>
      </c>
      <c r="B77" s="3" t="s">
        <v>109</v>
      </c>
      <c r="C77" s="3" t="s">
        <v>272</v>
      </c>
      <c r="D77" s="3" t="s">
        <v>110</v>
      </c>
      <c r="E77" s="3" t="s">
        <v>111</v>
      </c>
      <c r="F77" s="3" t="s">
        <v>86</v>
      </c>
      <c r="G77" s="3" t="s">
        <v>127</v>
      </c>
      <c r="H77" s="3" t="s">
        <v>119</v>
      </c>
      <c r="I77" s="3" t="s">
        <v>89</v>
      </c>
      <c r="J77" s="4"/>
      <c r="K77" s="3" t="s">
        <v>31</v>
      </c>
      <c r="L77" s="3" t="s">
        <v>90</v>
      </c>
      <c r="M77" s="3" t="n">
        <v>300</v>
      </c>
      <c r="N77" s="3" t="n">
        <v>9</v>
      </c>
      <c r="O77" s="3" t="s">
        <v>33</v>
      </c>
      <c r="P77" s="3" t="s">
        <v>128</v>
      </c>
      <c r="Q77" s="3" t="s">
        <v>48</v>
      </c>
      <c r="R77" s="3" t="s">
        <v>36</v>
      </c>
      <c r="S77" s="5" t="n">
        <v>46148</v>
      </c>
      <c r="T77" s="5" t="n">
        <v>46220</v>
      </c>
      <c r="U77" s="3"/>
      <c r="V77" s="3" t="n">
        <f aca="false">COUNTIFS(Colours!$A$2:$A$742,$A77,Colours!$D$2:$D$742,"Ordered")</f>
        <v>4</v>
      </c>
    </row>
    <row r="78" customFormat="false" ht="15" hidden="false" customHeight="false" outlineLevel="0" collapsed="false">
      <c r="A78" s="3" t="s">
        <v>281</v>
      </c>
      <c r="B78" s="3" t="s">
        <v>212</v>
      </c>
      <c r="C78" s="3" t="s">
        <v>272</v>
      </c>
      <c r="D78" s="3" t="s">
        <v>52</v>
      </c>
      <c r="E78" s="3" t="s">
        <v>53</v>
      </c>
      <c r="F78" s="3" t="s">
        <v>54</v>
      </c>
      <c r="G78" s="3" t="s">
        <v>55</v>
      </c>
      <c r="H78" s="3" t="s">
        <v>282</v>
      </c>
      <c r="I78" s="3" t="s">
        <v>96</v>
      </c>
      <c r="J78" s="4" t="n">
        <v>26.37</v>
      </c>
      <c r="K78" s="3" t="s">
        <v>31</v>
      </c>
      <c r="L78" s="3" t="s">
        <v>32</v>
      </c>
      <c r="M78" s="3" t="n">
        <v>150</v>
      </c>
      <c r="N78" s="3"/>
      <c r="O78" s="3" t="s">
        <v>33</v>
      </c>
      <c r="P78" s="3" t="s">
        <v>152</v>
      </c>
      <c r="Q78" s="3" t="s">
        <v>68</v>
      </c>
      <c r="R78" s="3" t="s">
        <v>58</v>
      </c>
      <c r="S78" s="5" t="n">
        <v>46090</v>
      </c>
      <c r="T78" s="5" t="n">
        <v>46114</v>
      </c>
      <c r="U78" s="3"/>
      <c r="V78" s="3" t="n">
        <f aca="false">COUNTIFS(Colours!$A$2:$A$742,$A78,Colours!$D$2:$D$742,"Ordered")</f>
        <v>1</v>
      </c>
    </row>
    <row r="79" customFormat="false" ht="15" hidden="false" customHeight="false" outlineLevel="0" collapsed="false">
      <c r="A79" s="3" t="s">
        <v>283</v>
      </c>
      <c r="B79" s="3"/>
      <c r="C79" s="3" t="s">
        <v>272</v>
      </c>
      <c r="D79" s="3" t="s">
        <v>52</v>
      </c>
      <c r="E79" s="3" t="s">
        <v>53</v>
      </c>
      <c r="F79" s="3" t="s">
        <v>64</v>
      </c>
      <c r="G79" s="3" t="s">
        <v>65</v>
      </c>
      <c r="H79" s="3" t="s">
        <v>284</v>
      </c>
      <c r="I79" s="3" t="s">
        <v>198</v>
      </c>
      <c r="J79" s="4" t="n">
        <v>57.47</v>
      </c>
      <c r="K79" s="3" t="s">
        <v>31</v>
      </c>
      <c r="L79" s="3" t="s">
        <v>32</v>
      </c>
      <c r="M79" s="3" t="n">
        <v>150</v>
      </c>
      <c r="N79" s="3"/>
      <c r="O79" s="3" t="s">
        <v>33</v>
      </c>
      <c r="P79" s="3" t="s">
        <v>152</v>
      </c>
      <c r="Q79" s="3" t="s">
        <v>35</v>
      </c>
      <c r="R79" s="3" t="s">
        <v>58</v>
      </c>
      <c r="S79" s="5" t="n">
        <v>46121</v>
      </c>
      <c r="T79" s="5" t="n">
        <v>46191</v>
      </c>
      <c r="U79" s="3" t="s">
        <v>37</v>
      </c>
      <c r="V79" s="3" t="n">
        <f aca="false">COUNTIFS(Colours!$A$2:$A$742,$A79,Colours!$D$2:$D$742,"Ordered")</f>
        <v>1</v>
      </c>
    </row>
    <row r="80" customFormat="false" ht="15" hidden="false" customHeight="false" outlineLevel="0" collapsed="false">
      <c r="A80" s="3" t="s">
        <v>285</v>
      </c>
      <c r="B80" s="3" t="s">
        <v>109</v>
      </c>
      <c r="C80" s="3" t="s">
        <v>272</v>
      </c>
      <c r="D80" s="3" t="s">
        <v>110</v>
      </c>
      <c r="E80" s="3" t="s">
        <v>111</v>
      </c>
      <c r="F80" s="3" t="s">
        <v>86</v>
      </c>
      <c r="G80" s="3" t="s">
        <v>127</v>
      </c>
      <c r="H80" s="3" t="s">
        <v>286</v>
      </c>
      <c r="I80" s="3" t="s">
        <v>123</v>
      </c>
      <c r="J80" s="4" t="n">
        <v>13.3</v>
      </c>
      <c r="K80" s="3" t="s">
        <v>31</v>
      </c>
      <c r="L80" s="3" t="s">
        <v>90</v>
      </c>
      <c r="M80" s="3" t="n">
        <v>200</v>
      </c>
      <c r="N80" s="3" t="n">
        <v>11</v>
      </c>
      <c r="O80" s="3" t="s">
        <v>33</v>
      </c>
      <c r="P80" s="3" t="s">
        <v>128</v>
      </c>
      <c r="Q80" s="3" t="s">
        <v>48</v>
      </c>
      <c r="R80" s="3" t="s">
        <v>144</v>
      </c>
      <c r="S80" s="5" t="n">
        <v>46146</v>
      </c>
      <c r="T80" s="5" t="n">
        <v>46182</v>
      </c>
      <c r="U80" s="3"/>
      <c r="V80" s="3" t="n">
        <f aca="false">COUNTIFS(Colours!$A$2:$A$742,$A80,Colours!$D$2:$D$742,"Ordered")</f>
        <v>2</v>
      </c>
    </row>
    <row r="81" customFormat="false" ht="15" hidden="false" customHeight="false" outlineLevel="0" collapsed="false">
      <c r="A81" s="3" t="s">
        <v>287</v>
      </c>
      <c r="B81" s="3" t="s">
        <v>83</v>
      </c>
      <c r="C81" s="3" t="s">
        <v>272</v>
      </c>
      <c r="D81" s="3" t="s">
        <v>84</v>
      </c>
      <c r="E81" s="3" t="s">
        <v>85</v>
      </c>
      <c r="F81" s="3" t="s">
        <v>86</v>
      </c>
      <c r="G81" s="3" t="s">
        <v>118</v>
      </c>
      <c r="H81" s="3" t="s">
        <v>112</v>
      </c>
      <c r="I81" s="3" t="s">
        <v>120</v>
      </c>
      <c r="J81" s="4" t="n">
        <v>5.54</v>
      </c>
      <c r="K81" s="3" t="s">
        <v>31</v>
      </c>
      <c r="L81" s="3"/>
      <c r="M81" s="3" t="n">
        <v>200</v>
      </c>
      <c r="N81" s="3" t="n">
        <v>10</v>
      </c>
      <c r="O81" s="3" t="s">
        <v>91</v>
      </c>
      <c r="P81" s="3" t="s">
        <v>92</v>
      </c>
      <c r="Q81" s="3" t="s">
        <v>48</v>
      </c>
      <c r="R81" s="3" t="s">
        <v>144</v>
      </c>
      <c r="S81" s="5" t="n">
        <v>46133</v>
      </c>
      <c r="T81" s="5" t="n">
        <v>46209</v>
      </c>
      <c r="U81" s="3"/>
      <c r="V81" s="3" t="n">
        <f aca="false">COUNTIFS(Colours!$A$2:$A$742,$A81,Colours!$D$2:$D$742,"Ordered")</f>
        <v>2</v>
      </c>
    </row>
    <row r="82" customFormat="false" ht="15" hidden="false" customHeight="false" outlineLevel="0" collapsed="false">
      <c r="A82" s="3" t="s">
        <v>288</v>
      </c>
      <c r="B82" s="3" t="s">
        <v>212</v>
      </c>
      <c r="C82" s="3" t="s">
        <v>272</v>
      </c>
      <c r="D82" s="3" t="s">
        <v>52</v>
      </c>
      <c r="E82" s="3" t="s">
        <v>53</v>
      </c>
      <c r="F82" s="3" t="s">
        <v>54</v>
      </c>
      <c r="G82" s="3" t="s">
        <v>55</v>
      </c>
      <c r="H82" s="3" t="s">
        <v>221</v>
      </c>
      <c r="I82" s="3" t="s">
        <v>45</v>
      </c>
      <c r="J82" s="4" t="n">
        <v>21.05</v>
      </c>
      <c r="K82" s="3" t="s">
        <v>31</v>
      </c>
      <c r="L82" s="3" t="s">
        <v>32</v>
      </c>
      <c r="M82" s="3" t="s">
        <v>222</v>
      </c>
      <c r="N82" s="3" t="n">
        <v>6</v>
      </c>
      <c r="O82" s="3" t="s">
        <v>33</v>
      </c>
      <c r="P82" s="3" t="s">
        <v>152</v>
      </c>
      <c r="Q82" s="3" t="s">
        <v>48</v>
      </c>
      <c r="R82" s="3" t="s">
        <v>49</v>
      </c>
      <c r="S82" s="5" t="n">
        <v>46098</v>
      </c>
      <c r="T82" s="5" t="n">
        <v>46114</v>
      </c>
      <c r="U82" s="3"/>
      <c r="V82" s="3" t="n">
        <f aca="false">COUNTIFS(Colours!$A$2:$A$742,$A82,Colours!$D$2:$D$742,"Ordered")</f>
        <v>1</v>
      </c>
    </row>
    <row r="83" customFormat="false" ht="15" hidden="false" customHeight="false" outlineLevel="0" collapsed="false">
      <c r="A83" s="3" t="s">
        <v>289</v>
      </c>
      <c r="B83" s="3" t="s">
        <v>51</v>
      </c>
      <c r="C83" s="3" t="s">
        <v>272</v>
      </c>
      <c r="D83" s="3" t="s">
        <v>52</v>
      </c>
      <c r="E83" s="3" t="s">
        <v>53</v>
      </c>
      <c r="F83" s="3" t="s">
        <v>54</v>
      </c>
      <c r="G83" s="3" t="s">
        <v>55</v>
      </c>
      <c r="H83" s="3" t="s">
        <v>290</v>
      </c>
      <c r="I83" s="3" t="s">
        <v>96</v>
      </c>
      <c r="J83" s="4" t="n">
        <v>10</v>
      </c>
      <c r="K83" s="3" t="s">
        <v>31</v>
      </c>
      <c r="L83" s="3" t="s">
        <v>32</v>
      </c>
      <c r="M83" s="3" t="n">
        <v>100</v>
      </c>
      <c r="N83" s="3" t="n">
        <v>14</v>
      </c>
      <c r="O83" s="3" t="s">
        <v>33</v>
      </c>
      <c r="P83" s="3" t="s">
        <v>34</v>
      </c>
      <c r="Q83" s="3" t="s">
        <v>48</v>
      </c>
      <c r="R83" s="3" t="s">
        <v>36</v>
      </c>
      <c r="S83" s="5" t="n">
        <v>46117</v>
      </c>
      <c r="T83" s="5" t="n">
        <v>46133</v>
      </c>
      <c r="U83" s="3"/>
      <c r="V83" s="3" t="n">
        <f aca="false">COUNTIFS(Colours!$A$2:$A$742,$A83,Colours!$D$2:$D$742,"Ordered")</f>
        <v>1</v>
      </c>
    </row>
    <row r="84" customFormat="false" ht="15" hidden="false" customHeight="false" outlineLevel="0" collapsed="false">
      <c r="A84" s="3" t="s">
        <v>291</v>
      </c>
      <c r="B84" s="3" t="s">
        <v>292</v>
      </c>
      <c r="C84" s="3" t="s">
        <v>272</v>
      </c>
      <c r="D84" s="3" t="s">
        <v>40</v>
      </c>
      <c r="E84" s="3" t="s">
        <v>41</v>
      </c>
      <c r="F84" s="3" t="s">
        <v>54</v>
      </c>
      <c r="G84" s="3" t="s">
        <v>55</v>
      </c>
      <c r="H84" s="3" t="s">
        <v>293</v>
      </c>
      <c r="I84" s="3" t="s">
        <v>30</v>
      </c>
      <c r="J84" s="4" t="n">
        <v>35.82</v>
      </c>
      <c r="K84" s="3" t="s">
        <v>31</v>
      </c>
      <c r="L84" s="3" t="s">
        <v>32</v>
      </c>
      <c r="M84" s="3" t="n">
        <v>300</v>
      </c>
      <c r="N84" s="3" t="n">
        <v>7</v>
      </c>
      <c r="O84" s="3"/>
      <c r="P84" s="3"/>
      <c r="Q84" s="3" t="s">
        <v>68</v>
      </c>
      <c r="R84" s="3" t="s">
        <v>80</v>
      </c>
      <c r="S84" s="5" t="n">
        <v>46107</v>
      </c>
      <c r="T84" s="5" t="n">
        <v>46149</v>
      </c>
      <c r="U84" s="3"/>
      <c r="V84" s="3" t="n">
        <f aca="false">COUNTIFS(Colours!$A$2:$A$742,$A84,Colours!$D$2:$D$742,"Ordered")</f>
        <v>2</v>
      </c>
    </row>
    <row r="85" customFormat="false" ht="15" hidden="false" customHeight="false" outlineLevel="0" collapsed="false">
      <c r="A85" s="3" t="s">
        <v>294</v>
      </c>
      <c r="B85" s="3" t="s">
        <v>70</v>
      </c>
      <c r="C85" s="3" t="s">
        <v>272</v>
      </c>
      <c r="D85" s="3" t="s">
        <v>71</v>
      </c>
      <c r="E85" s="3" t="s">
        <v>72</v>
      </c>
      <c r="F85" s="3" t="s">
        <v>73</v>
      </c>
      <c r="G85" s="3" t="s">
        <v>74</v>
      </c>
      <c r="H85" s="3" t="s">
        <v>295</v>
      </c>
      <c r="I85" s="3" t="s">
        <v>30</v>
      </c>
      <c r="J85" s="4" t="n">
        <v>20.93</v>
      </c>
      <c r="K85" s="3" t="s">
        <v>31</v>
      </c>
      <c r="L85" s="3" t="s">
        <v>32</v>
      </c>
      <c r="M85" s="3" t="n">
        <v>50</v>
      </c>
      <c r="N85" s="3" t="n">
        <v>14</v>
      </c>
      <c r="O85" s="3" t="s">
        <v>33</v>
      </c>
      <c r="P85" s="3" t="s">
        <v>76</v>
      </c>
      <c r="Q85" s="3" t="s">
        <v>48</v>
      </c>
      <c r="R85" s="3" t="s">
        <v>144</v>
      </c>
      <c r="S85" s="5" t="n">
        <v>46141</v>
      </c>
      <c r="T85" s="5" t="n">
        <v>46218</v>
      </c>
      <c r="U85" s="3"/>
      <c r="V85" s="3" t="n">
        <f aca="false">COUNTIFS(Colours!$A$2:$A$742,$A85,Colours!$D$2:$D$742,"Ordered")</f>
        <v>3</v>
      </c>
    </row>
    <row r="86" customFormat="false" ht="15" hidden="false" customHeight="false" outlineLevel="0" collapsed="false">
      <c r="A86" s="3" t="s">
        <v>296</v>
      </c>
      <c r="B86" s="3" t="s">
        <v>256</v>
      </c>
      <c r="C86" s="3" t="s">
        <v>272</v>
      </c>
      <c r="D86" s="3" t="s">
        <v>40</v>
      </c>
      <c r="E86" s="3" t="s">
        <v>41</v>
      </c>
      <c r="F86" s="3" t="s">
        <v>42</v>
      </c>
      <c r="G86" s="3" t="s">
        <v>261</v>
      </c>
      <c r="H86" s="3" t="s">
        <v>297</v>
      </c>
      <c r="I86" s="3" t="s">
        <v>198</v>
      </c>
      <c r="J86" s="4" t="n">
        <v>25.03</v>
      </c>
      <c r="K86" s="3" t="s">
        <v>31</v>
      </c>
      <c r="L86" s="3" t="s">
        <v>32</v>
      </c>
      <c r="M86" s="3" t="n">
        <v>300</v>
      </c>
      <c r="N86" s="3" t="n">
        <v>12</v>
      </c>
      <c r="O86" s="3" t="s">
        <v>46</v>
      </c>
      <c r="P86" s="3" t="s">
        <v>298</v>
      </c>
      <c r="Q86" s="3" t="s">
        <v>68</v>
      </c>
      <c r="R86" s="3" t="s">
        <v>58</v>
      </c>
      <c r="S86" s="5" t="n">
        <v>46115</v>
      </c>
      <c r="T86" s="5" t="n">
        <v>46206</v>
      </c>
      <c r="U86" s="3"/>
      <c r="V86" s="3" t="n">
        <f aca="false">COUNTIFS(Colours!$A$2:$A$742,$A86,Colours!$D$2:$D$742,"Ordered")</f>
        <v>3</v>
      </c>
    </row>
    <row r="87" customFormat="false" ht="15" hidden="false" customHeight="false" outlineLevel="0" collapsed="false">
      <c r="A87" s="3" t="s">
        <v>299</v>
      </c>
      <c r="B87" s="3" t="s">
        <v>300</v>
      </c>
      <c r="C87" s="3" t="s">
        <v>272</v>
      </c>
      <c r="D87" s="3" t="s">
        <v>172</v>
      </c>
      <c r="E87" s="3" t="s">
        <v>173</v>
      </c>
      <c r="F87" s="3" t="s">
        <v>174</v>
      </c>
      <c r="G87" s="3" t="s">
        <v>301</v>
      </c>
      <c r="H87" s="3" t="s">
        <v>274</v>
      </c>
      <c r="I87" s="3" t="s">
        <v>177</v>
      </c>
      <c r="J87" s="4" t="n">
        <v>97.62</v>
      </c>
      <c r="K87" s="3" t="s">
        <v>31</v>
      </c>
      <c r="L87" s="3" t="s">
        <v>178</v>
      </c>
      <c r="M87" s="3" t="n">
        <v>50</v>
      </c>
      <c r="N87" s="3" t="n">
        <v>7</v>
      </c>
      <c r="O87" s="3" t="s">
        <v>33</v>
      </c>
      <c r="P87" s="3"/>
      <c r="Q87" s="3" t="s">
        <v>35</v>
      </c>
      <c r="R87" s="3" t="s">
        <v>80</v>
      </c>
      <c r="S87" s="5" t="n">
        <v>46098</v>
      </c>
      <c r="T87" s="5" t="n">
        <v>46113</v>
      </c>
      <c r="U87" s="3" t="s">
        <v>81</v>
      </c>
      <c r="V87" s="3" t="n">
        <f aca="false">COUNTIFS(Colours!$A$2:$A$742,$A87,Colours!$D$2:$D$742,"Ordered")</f>
        <v>1</v>
      </c>
    </row>
    <row r="88" customFormat="false" ht="15" hidden="false" customHeight="false" outlineLevel="0" collapsed="false">
      <c r="A88" s="3" t="s">
        <v>302</v>
      </c>
      <c r="B88" s="3" t="s">
        <v>171</v>
      </c>
      <c r="C88" s="3" t="s">
        <v>272</v>
      </c>
      <c r="D88" s="3" t="s">
        <v>172</v>
      </c>
      <c r="E88" s="3" t="s">
        <v>173</v>
      </c>
      <c r="F88" s="3" t="s">
        <v>174</v>
      </c>
      <c r="G88" s="3" t="s">
        <v>210</v>
      </c>
      <c r="H88" s="3" t="s">
        <v>274</v>
      </c>
      <c r="I88" s="3" t="s">
        <v>177</v>
      </c>
      <c r="J88" s="4" t="n">
        <v>75.89</v>
      </c>
      <c r="K88" s="3" t="s">
        <v>31</v>
      </c>
      <c r="L88" s="3" t="s">
        <v>178</v>
      </c>
      <c r="M88" s="3" t="n">
        <v>100</v>
      </c>
      <c r="N88" s="3" t="s">
        <v>124</v>
      </c>
      <c r="O88" s="3" t="s">
        <v>33</v>
      </c>
      <c r="P88" s="3" t="s">
        <v>34</v>
      </c>
      <c r="Q88" s="3" t="s">
        <v>48</v>
      </c>
      <c r="R88" s="3" t="s">
        <v>58</v>
      </c>
      <c r="S88" s="5" t="n">
        <v>46100</v>
      </c>
      <c r="T88" s="5" t="n">
        <v>46140</v>
      </c>
      <c r="U88" s="3"/>
      <c r="V88" s="3" t="n">
        <f aca="false">COUNTIFS(Colours!$A$2:$A$742,$A88,Colours!$D$2:$D$742,"Ordered")</f>
        <v>1</v>
      </c>
    </row>
    <row r="89" customFormat="false" ht="15" hidden="false" customHeight="false" outlineLevel="0" collapsed="false">
      <c r="A89" s="3" t="s">
        <v>303</v>
      </c>
      <c r="B89" s="3" t="s">
        <v>131</v>
      </c>
      <c r="C89" s="3" t="s">
        <v>272</v>
      </c>
      <c r="D89" s="3" t="s">
        <v>155</v>
      </c>
      <c r="E89" s="3" t="s">
        <v>156</v>
      </c>
      <c r="F89" s="3" t="s">
        <v>27</v>
      </c>
      <c r="G89" s="3" t="s">
        <v>28</v>
      </c>
      <c r="H89" s="3"/>
      <c r="I89" s="3" t="s">
        <v>30</v>
      </c>
      <c r="J89" s="4" t="s">
        <v>222</v>
      </c>
      <c r="K89" s="3" t="s">
        <v>31</v>
      </c>
      <c r="L89" s="3" t="s">
        <v>32</v>
      </c>
      <c r="M89" s="3"/>
      <c r="N89" s="3"/>
      <c r="O89" s="3" t="s">
        <v>91</v>
      </c>
      <c r="P89" s="3"/>
      <c r="Q89" s="3" t="s">
        <v>48</v>
      </c>
      <c r="R89" s="3" t="s">
        <v>80</v>
      </c>
      <c r="S89" s="5" t="n">
        <v>46135</v>
      </c>
      <c r="T89" s="5" t="n">
        <v>46236</v>
      </c>
      <c r="U89" s="3"/>
      <c r="V89" s="3" t="n">
        <f aca="false">COUNTIFS(Colours!$A$2:$A$742,$A89,Colours!$D$2:$D$742,"Ordered")</f>
        <v>1</v>
      </c>
    </row>
    <row r="90" customFormat="false" ht="15" hidden="false" customHeight="false" outlineLevel="0" collapsed="false">
      <c r="A90" s="3" t="s">
        <v>304</v>
      </c>
      <c r="B90" s="3" t="s">
        <v>162</v>
      </c>
      <c r="C90" s="3" t="s">
        <v>272</v>
      </c>
      <c r="D90" s="3" t="s">
        <v>110</v>
      </c>
      <c r="E90" s="3" t="s">
        <v>111</v>
      </c>
      <c r="F90" s="3" t="s">
        <v>86</v>
      </c>
      <c r="G90" s="3" t="s">
        <v>127</v>
      </c>
      <c r="H90" s="3" t="s">
        <v>138</v>
      </c>
      <c r="I90" s="3" t="s">
        <v>113</v>
      </c>
      <c r="J90" s="4" t="n">
        <v>5.84</v>
      </c>
      <c r="K90" s="3" t="s">
        <v>31</v>
      </c>
      <c r="L90" s="3" t="s">
        <v>90</v>
      </c>
      <c r="M90" s="3" t="n">
        <v>300</v>
      </c>
      <c r="N90" s="3" t="n">
        <v>10</v>
      </c>
      <c r="O90" s="3" t="s">
        <v>33</v>
      </c>
      <c r="P90" s="3" t="s">
        <v>92</v>
      </c>
      <c r="Q90" s="3" t="s">
        <v>35</v>
      </c>
      <c r="R90" s="3" t="s">
        <v>144</v>
      </c>
      <c r="S90" s="5" t="n">
        <v>46136</v>
      </c>
      <c r="T90" s="5" t="n">
        <v>46268</v>
      </c>
      <c r="U90" s="3" t="s">
        <v>305</v>
      </c>
      <c r="V90" s="3" t="n">
        <f aca="false">COUNTIFS(Colours!$A$2:$A$742,$A90,Colours!$D$2:$D$742,"Ordered")</f>
        <v>3</v>
      </c>
    </row>
    <row r="91" customFormat="false" ht="15" hidden="false" customHeight="false" outlineLevel="0" collapsed="false">
      <c r="A91" s="3" t="s">
        <v>306</v>
      </c>
      <c r="B91" s="3" t="s">
        <v>105</v>
      </c>
      <c r="C91" s="3" t="s">
        <v>272</v>
      </c>
      <c r="D91" s="3" t="s">
        <v>71</v>
      </c>
      <c r="E91" s="3" t="s">
        <v>72</v>
      </c>
      <c r="F91" s="3" t="s">
        <v>73</v>
      </c>
      <c r="G91" s="3" t="s">
        <v>106</v>
      </c>
      <c r="H91" s="3" t="s">
        <v>307</v>
      </c>
      <c r="I91" s="3" t="s">
        <v>30</v>
      </c>
      <c r="J91" s="4"/>
      <c r="K91" s="3" t="s">
        <v>31</v>
      </c>
      <c r="L91" s="3" t="s">
        <v>32</v>
      </c>
      <c r="M91" s="3" t="n">
        <v>20</v>
      </c>
      <c r="N91" s="3" t="n">
        <v>6</v>
      </c>
      <c r="O91" s="3" t="s">
        <v>33</v>
      </c>
      <c r="P91" s="3" t="s">
        <v>34</v>
      </c>
      <c r="Q91" s="3" t="s">
        <v>48</v>
      </c>
      <c r="R91" s="3" t="s">
        <v>144</v>
      </c>
      <c r="S91" s="5" t="n">
        <v>46108</v>
      </c>
      <c r="T91" s="5" t="n">
        <v>46137</v>
      </c>
      <c r="U91" s="3"/>
      <c r="V91" s="3" t="n">
        <f aca="false">COUNTIFS(Colours!$A$2:$A$742,$A91,Colours!$D$2:$D$742,"Ordered")</f>
        <v>3</v>
      </c>
    </row>
    <row r="92" customFormat="false" ht="15" hidden="false" customHeight="false" outlineLevel="0" collapsed="false">
      <c r="A92" s="3" t="s">
        <v>308</v>
      </c>
      <c r="B92" s="3" t="s">
        <v>309</v>
      </c>
      <c r="C92" s="3" t="s">
        <v>272</v>
      </c>
      <c r="D92" s="3" t="s">
        <v>25</v>
      </c>
      <c r="E92" s="3" t="s">
        <v>26</v>
      </c>
      <c r="F92" s="3" t="s">
        <v>99</v>
      </c>
      <c r="G92" s="3" t="s">
        <v>100</v>
      </c>
      <c r="H92" s="3" t="s">
        <v>205</v>
      </c>
      <c r="I92" s="3" t="s">
        <v>206</v>
      </c>
      <c r="J92" s="4" t="n">
        <v>18.01</v>
      </c>
      <c r="K92" s="3" t="s">
        <v>31</v>
      </c>
      <c r="L92" s="3" t="s">
        <v>32</v>
      </c>
      <c r="M92" s="3" t="n">
        <v>50</v>
      </c>
      <c r="N92" s="3" t="n">
        <v>10</v>
      </c>
      <c r="O92" s="3" t="s">
        <v>33</v>
      </c>
      <c r="P92" s="3" t="s">
        <v>103</v>
      </c>
      <c r="Q92" s="3" t="s">
        <v>48</v>
      </c>
      <c r="R92" s="3" t="s">
        <v>36</v>
      </c>
      <c r="S92" s="5" t="n">
        <v>46093</v>
      </c>
      <c r="T92" s="5" t="n">
        <v>46156</v>
      </c>
      <c r="U92" s="3"/>
      <c r="V92" s="3" t="n">
        <f aca="false">COUNTIFS(Colours!$A$2:$A$742,$A92,Colours!$D$2:$D$742,"Ordered")</f>
        <v>3</v>
      </c>
    </row>
    <row r="93" customFormat="false" ht="15" hidden="false" customHeight="false" outlineLevel="0" collapsed="false">
      <c r="A93" s="3" t="s">
        <v>310</v>
      </c>
      <c r="B93" s="3" t="s">
        <v>39</v>
      </c>
      <c r="C93" s="3" t="s">
        <v>272</v>
      </c>
      <c r="D93" s="3" t="s">
        <v>62</v>
      </c>
      <c r="E93" s="3" t="s">
        <v>63</v>
      </c>
      <c r="F93" s="3" t="s">
        <v>42</v>
      </c>
      <c r="G93" s="3" t="s">
        <v>43</v>
      </c>
      <c r="H93" s="3" t="s">
        <v>311</v>
      </c>
      <c r="I93" s="3"/>
      <c r="J93" s="4"/>
      <c r="K93" s="3" t="s">
        <v>31</v>
      </c>
      <c r="L93" s="3" t="s">
        <v>32</v>
      </c>
      <c r="M93" s="3" t="n">
        <v>100</v>
      </c>
      <c r="N93" s="3" t="n">
        <v>7</v>
      </c>
      <c r="O93" s="3"/>
      <c r="P93" s="3" t="s">
        <v>34</v>
      </c>
      <c r="Q93" s="3" t="s">
        <v>48</v>
      </c>
      <c r="R93" s="3" t="s">
        <v>58</v>
      </c>
      <c r="S93" s="5" t="n">
        <v>46149</v>
      </c>
      <c r="T93" s="5" t="n">
        <v>46158</v>
      </c>
      <c r="U93" s="3"/>
      <c r="V93" s="3" t="n">
        <f aca="false">COUNTIFS(Colours!$A$2:$A$742,$A93,Colours!$D$2:$D$742,"Ordered")</f>
        <v>3</v>
      </c>
    </row>
    <row r="94" customFormat="false" ht="15" hidden="false" customHeight="false" outlineLevel="0" collapsed="false">
      <c r="A94" s="3" t="s">
        <v>312</v>
      </c>
      <c r="B94" s="3" t="s">
        <v>98</v>
      </c>
      <c r="C94" s="3" t="s">
        <v>272</v>
      </c>
      <c r="D94" s="3" t="s">
        <v>155</v>
      </c>
      <c r="E94" s="3" t="s">
        <v>156</v>
      </c>
      <c r="F94" s="3" t="s">
        <v>99</v>
      </c>
      <c r="G94" s="3" t="s">
        <v>149</v>
      </c>
      <c r="H94" s="3"/>
      <c r="I94" s="3" t="s">
        <v>206</v>
      </c>
      <c r="J94" s="4"/>
      <c r="K94" s="3" t="s">
        <v>31</v>
      </c>
      <c r="L94" s="3"/>
      <c r="M94" s="3" t="n">
        <v>100</v>
      </c>
      <c r="N94" s="3" t="n">
        <v>6</v>
      </c>
      <c r="O94" s="3" t="s">
        <v>91</v>
      </c>
      <c r="P94" s="3"/>
      <c r="Q94" s="3" t="s">
        <v>48</v>
      </c>
      <c r="R94" s="3" t="s">
        <v>36</v>
      </c>
      <c r="S94" s="5" t="n">
        <v>46111</v>
      </c>
      <c r="T94" s="5" t="n">
        <v>46145</v>
      </c>
      <c r="U94" s="3" t="s">
        <v>59</v>
      </c>
      <c r="V94" s="3" t="n">
        <f aca="false">COUNTIFS(Colours!$A$2:$A$742,$A94,Colours!$D$2:$D$742,"Ordered")</f>
        <v>1</v>
      </c>
    </row>
    <row r="95" customFormat="false" ht="15" hidden="false" customHeight="false" outlineLevel="0" collapsed="false">
      <c r="A95" s="3" t="s">
        <v>313</v>
      </c>
      <c r="B95" s="3" t="s">
        <v>252</v>
      </c>
      <c r="C95" s="3" t="s">
        <v>272</v>
      </c>
      <c r="D95" s="3" t="s">
        <v>25</v>
      </c>
      <c r="E95" s="3" t="s">
        <v>26</v>
      </c>
      <c r="F95" s="3" t="s">
        <v>27</v>
      </c>
      <c r="G95" s="3" t="s">
        <v>28</v>
      </c>
      <c r="H95" s="3" t="s">
        <v>314</v>
      </c>
      <c r="I95" s="3" t="s">
        <v>96</v>
      </c>
      <c r="J95" s="4" t="n">
        <v>36.17</v>
      </c>
      <c r="K95" s="3" t="s">
        <v>31</v>
      </c>
      <c r="L95" s="3" t="s">
        <v>32</v>
      </c>
      <c r="M95" s="3" t="n">
        <v>20</v>
      </c>
      <c r="N95" s="3" t="n">
        <v>11</v>
      </c>
      <c r="O95" s="3" t="s">
        <v>33</v>
      </c>
      <c r="P95" s="3"/>
      <c r="Q95" s="3" t="s">
        <v>48</v>
      </c>
      <c r="R95" s="3" t="s">
        <v>144</v>
      </c>
      <c r="S95" s="5" t="n">
        <v>46121</v>
      </c>
      <c r="T95" s="5" t="n">
        <v>46188</v>
      </c>
      <c r="U95" s="3"/>
      <c r="V95" s="3" t="n">
        <f aca="false">COUNTIFS(Colours!$A$2:$A$742,$A95,Colours!$D$2:$D$742,"Ordered")</f>
        <v>1</v>
      </c>
    </row>
    <row r="96" customFormat="false" ht="15" hidden="false" customHeight="false" outlineLevel="0" collapsed="false">
      <c r="A96" s="3" t="s">
        <v>315</v>
      </c>
      <c r="B96" s="3" t="s">
        <v>249</v>
      </c>
      <c r="C96" s="3" t="s">
        <v>272</v>
      </c>
      <c r="D96" s="3" t="s">
        <v>155</v>
      </c>
      <c r="E96" s="3" t="s">
        <v>156</v>
      </c>
      <c r="F96" s="3" t="s">
        <v>54</v>
      </c>
      <c r="G96" s="3" t="s">
        <v>160</v>
      </c>
      <c r="H96" s="3" t="s">
        <v>316</v>
      </c>
      <c r="I96" s="3" t="s">
        <v>30</v>
      </c>
      <c r="J96" s="4" t="n">
        <v>36.75</v>
      </c>
      <c r="K96" s="3" t="s">
        <v>31</v>
      </c>
      <c r="L96" s="3" t="s">
        <v>32</v>
      </c>
      <c r="M96" s="3"/>
      <c r="N96" s="3"/>
      <c r="O96" s="3" t="s">
        <v>91</v>
      </c>
      <c r="P96" s="3" t="s">
        <v>57</v>
      </c>
      <c r="Q96" s="3" t="s">
        <v>48</v>
      </c>
      <c r="R96" s="3" t="s">
        <v>36</v>
      </c>
      <c r="S96" s="5" t="n">
        <v>46114</v>
      </c>
      <c r="T96" s="5" t="n">
        <v>46157</v>
      </c>
      <c r="U96" s="3"/>
      <c r="V96" s="3" t="n">
        <f aca="false">COUNTIFS(Colours!$A$2:$A$742,$A96,Colours!$D$2:$D$742,"Ordered")</f>
        <v>5</v>
      </c>
    </row>
    <row r="97" customFormat="false" ht="15" hidden="false" customHeight="false" outlineLevel="0" collapsed="false">
      <c r="A97" s="3" t="s">
        <v>317</v>
      </c>
      <c r="B97" s="3" t="s">
        <v>256</v>
      </c>
      <c r="C97" s="3" t="s">
        <v>272</v>
      </c>
      <c r="D97" s="3" t="s">
        <v>40</v>
      </c>
      <c r="E97" s="3" t="s">
        <v>41</v>
      </c>
      <c r="F97" s="3" t="s">
        <v>42</v>
      </c>
      <c r="G97" s="3" t="s">
        <v>218</v>
      </c>
      <c r="H97" s="3" t="s">
        <v>243</v>
      </c>
      <c r="I97" s="3" t="s">
        <v>30</v>
      </c>
      <c r="J97" s="4" t="n">
        <v>12.65</v>
      </c>
      <c r="K97" s="3" t="s">
        <v>31</v>
      </c>
      <c r="L97" s="3" t="s">
        <v>32</v>
      </c>
      <c r="M97" s="3" t="n">
        <v>100</v>
      </c>
      <c r="N97" s="3"/>
      <c r="O97" s="3" t="s">
        <v>46</v>
      </c>
      <c r="P97" s="3" t="s">
        <v>47</v>
      </c>
      <c r="Q97" s="3" t="s">
        <v>48</v>
      </c>
      <c r="R97" s="3" t="s">
        <v>80</v>
      </c>
      <c r="S97" s="5" t="n">
        <v>46113</v>
      </c>
      <c r="T97" s="5" t="n">
        <v>46185</v>
      </c>
      <c r="U97" s="3"/>
      <c r="V97" s="3" t="n">
        <f aca="false">COUNTIFS(Colours!$A$2:$A$742,$A97,Colours!$D$2:$D$742,"Ordered")</f>
        <v>4</v>
      </c>
    </row>
    <row r="98" customFormat="false" ht="15" hidden="false" customHeight="false" outlineLevel="0" collapsed="false">
      <c r="A98" s="3" t="s">
        <v>318</v>
      </c>
      <c r="B98" s="3" t="s">
        <v>300</v>
      </c>
      <c r="C98" s="3" t="s">
        <v>272</v>
      </c>
      <c r="D98" s="3" t="s">
        <v>172</v>
      </c>
      <c r="E98" s="3" t="s">
        <v>173</v>
      </c>
      <c r="F98" s="3" t="s">
        <v>174</v>
      </c>
      <c r="G98" s="3" t="s">
        <v>210</v>
      </c>
      <c r="H98" s="3" t="s">
        <v>200</v>
      </c>
      <c r="I98" s="3" t="s">
        <v>177</v>
      </c>
      <c r="J98" s="4" t="n">
        <v>154.53</v>
      </c>
      <c r="K98" s="3" t="s">
        <v>31</v>
      </c>
      <c r="L98" s="3" t="s">
        <v>178</v>
      </c>
      <c r="M98" s="3" t="n">
        <v>20</v>
      </c>
      <c r="N98" s="3" t="n">
        <v>9</v>
      </c>
      <c r="O98" s="3" t="s">
        <v>33</v>
      </c>
      <c r="P98" s="3" t="s">
        <v>103</v>
      </c>
      <c r="Q98" s="3" t="s">
        <v>48</v>
      </c>
      <c r="R98" s="3" t="s">
        <v>58</v>
      </c>
      <c r="S98" s="5" t="n">
        <v>46132</v>
      </c>
      <c r="T98" s="5" t="n">
        <v>46232</v>
      </c>
      <c r="U98" s="3"/>
      <c r="V98" s="3" t="n">
        <f aca="false">COUNTIFS(Colours!$A$2:$A$742,$A98,Colours!$D$2:$D$742,"Ordered")</f>
        <v>4</v>
      </c>
    </row>
    <row r="99" customFormat="false" ht="15" hidden="false" customHeight="false" outlineLevel="0" collapsed="false">
      <c r="A99" s="3" t="s">
        <v>319</v>
      </c>
      <c r="B99" s="3" t="s">
        <v>126</v>
      </c>
      <c r="C99" s="3" t="s">
        <v>272</v>
      </c>
      <c r="D99" s="3" t="s">
        <v>110</v>
      </c>
      <c r="E99" s="3" t="s">
        <v>111</v>
      </c>
      <c r="F99" s="3" t="s">
        <v>86</v>
      </c>
      <c r="G99" s="3" t="s">
        <v>146</v>
      </c>
      <c r="H99" s="3" t="s">
        <v>138</v>
      </c>
      <c r="I99" s="3" t="s">
        <v>113</v>
      </c>
      <c r="J99" s="4" t="n">
        <v>14.38</v>
      </c>
      <c r="K99" s="3" t="s">
        <v>31</v>
      </c>
      <c r="L99" s="3" t="s">
        <v>90</v>
      </c>
      <c r="M99" s="3" t="n">
        <v>300</v>
      </c>
      <c r="N99" s="3" t="s">
        <v>124</v>
      </c>
      <c r="O99" s="3" t="s">
        <v>33</v>
      </c>
      <c r="P99" s="3" t="s">
        <v>92</v>
      </c>
      <c r="Q99" s="3" t="s">
        <v>35</v>
      </c>
      <c r="R99" s="3" t="s">
        <v>144</v>
      </c>
      <c r="S99" s="5" t="n">
        <v>46110</v>
      </c>
      <c r="T99" s="5" t="n">
        <v>46129</v>
      </c>
      <c r="U99" s="3" t="s">
        <v>158</v>
      </c>
      <c r="V99" s="3" t="n">
        <f aca="false">COUNTIFS(Colours!$A$2:$A$742,$A99,Colours!$D$2:$D$742,"Ordered")</f>
        <v>3</v>
      </c>
    </row>
    <row r="100" customFormat="false" ht="15" hidden="false" customHeight="false" outlineLevel="0" collapsed="false">
      <c r="A100" s="3" t="s">
        <v>320</v>
      </c>
      <c r="B100" s="3" t="s">
        <v>109</v>
      </c>
      <c r="C100" s="3" t="s">
        <v>272</v>
      </c>
      <c r="D100" s="3" t="s">
        <v>116</v>
      </c>
      <c r="E100" s="3" t="s">
        <v>117</v>
      </c>
      <c r="F100" s="3" t="s">
        <v>86</v>
      </c>
      <c r="G100" s="3" t="s">
        <v>146</v>
      </c>
      <c r="H100" s="3" t="s">
        <v>112</v>
      </c>
      <c r="I100" s="3" t="s">
        <v>120</v>
      </c>
      <c r="J100" s="4" t="s">
        <v>124</v>
      </c>
      <c r="K100" s="3" t="s">
        <v>31</v>
      </c>
      <c r="L100" s="3" t="s">
        <v>90</v>
      </c>
      <c r="M100" s="3"/>
      <c r="N100" s="3" t="n">
        <v>5</v>
      </c>
      <c r="O100" s="3" t="s">
        <v>91</v>
      </c>
      <c r="P100" s="3" t="s">
        <v>128</v>
      </c>
      <c r="Q100" s="3" t="s">
        <v>48</v>
      </c>
      <c r="R100" s="3" t="s">
        <v>49</v>
      </c>
      <c r="S100" s="5" t="n">
        <v>46105</v>
      </c>
      <c r="T100" s="5" t="n">
        <v>46117</v>
      </c>
      <c r="U100" s="3"/>
      <c r="V100" s="3" t="n">
        <f aca="false">COUNTIFS(Colours!$A$2:$A$742,$A100,Colours!$D$2:$D$742,"Ordered")</f>
        <v>3</v>
      </c>
    </row>
    <row r="101" customFormat="false" ht="15" hidden="false" customHeight="false" outlineLevel="0" collapsed="false">
      <c r="A101" s="3" t="s">
        <v>321</v>
      </c>
      <c r="B101" s="3" t="s">
        <v>23</v>
      </c>
      <c r="C101" s="3" t="s">
        <v>272</v>
      </c>
      <c r="D101" s="3" t="s">
        <v>25</v>
      </c>
      <c r="E101" s="3" t="s">
        <v>26</v>
      </c>
      <c r="F101" s="3" t="s">
        <v>27</v>
      </c>
      <c r="G101" s="3" t="s">
        <v>94</v>
      </c>
      <c r="H101" s="3" t="s">
        <v>322</v>
      </c>
      <c r="I101" s="3" t="s">
        <v>134</v>
      </c>
      <c r="J101" s="4" t="n">
        <v>28.69</v>
      </c>
      <c r="K101" s="3" t="s">
        <v>31</v>
      </c>
      <c r="L101" s="3" t="s">
        <v>32</v>
      </c>
      <c r="M101" s="3"/>
      <c r="N101" s="3" t="n">
        <v>5</v>
      </c>
      <c r="O101" s="3" t="s">
        <v>33</v>
      </c>
      <c r="P101" s="3"/>
      <c r="Q101" s="3" t="s">
        <v>48</v>
      </c>
      <c r="R101" s="3" t="s">
        <v>80</v>
      </c>
      <c r="S101" s="5" t="n">
        <v>46109</v>
      </c>
      <c r="T101" s="5" t="n">
        <v>46139</v>
      </c>
      <c r="U101" s="3"/>
      <c r="V101" s="3" t="n">
        <f aca="false">COUNTIFS(Colours!$A$2:$A$742,$A101,Colours!$D$2:$D$742,"Ordered")</f>
        <v>1</v>
      </c>
    </row>
    <row r="102" customFormat="false" ht="15" hidden="false" customHeight="false" outlineLevel="0" collapsed="false">
      <c r="A102" s="3" t="s">
        <v>323</v>
      </c>
      <c r="B102" s="3" t="s">
        <v>324</v>
      </c>
      <c r="C102" s="3" t="s">
        <v>272</v>
      </c>
      <c r="D102" s="3" t="s">
        <v>25</v>
      </c>
      <c r="E102" s="3" t="s">
        <v>26</v>
      </c>
      <c r="F102" s="3" t="s">
        <v>27</v>
      </c>
      <c r="G102" s="3" t="s">
        <v>28</v>
      </c>
      <c r="H102" s="3" t="s">
        <v>325</v>
      </c>
      <c r="I102" s="3" t="s">
        <v>96</v>
      </c>
      <c r="J102" s="4" t="s">
        <v>124</v>
      </c>
      <c r="K102" s="3" t="s">
        <v>31</v>
      </c>
      <c r="L102" s="3" t="s">
        <v>32</v>
      </c>
      <c r="M102" s="3" t="n">
        <v>20</v>
      </c>
      <c r="N102" s="3" t="n">
        <v>5</v>
      </c>
      <c r="O102" s="3" t="s">
        <v>33</v>
      </c>
      <c r="P102" s="3"/>
      <c r="Q102" s="3" t="s">
        <v>68</v>
      </c>
      <c r="R102" s="3" t="s">
        <v>144</v>
      </c>
      <c r="S102" s="5" t="n">
        <v>46115</v>
      </c>
      <c r="T102" s="5" t="n">
        <v>46140</v>
      </c>
      <c r="U102" s="3"/>
      <c r="V102" s="3" t="n">
        <f aca="false">COUNTIFS(Colours!$A$2:$A$742,$A102,Colours!$D$2:$D$742,"Ordered")</f>
        <v>1</v>
      </c>
    </row>
    <row r="103" customFormat="false" ht="15" hidden="false" customHeight="false" outlineLevel="0" collapsed="false">
      <c r="A103" s="3" t="s">
        <v>326</v>
      </c>
      <c r="B103" s="3" t="s">
        <v>162</v>
      </c>
      <c r="C103" s="3" t="s">
        <v>272</v>
      </c>
      <c r="D103" s="3" t="s">
        <v>84</v>
      </c>
      <c r="E103" s="3" t="s">
        <v>85</v>
      </c>
      <c r="F103" s="3" t="s">
        <v>86</v>
      </c>
      <c r="G103" s="3" t="s">
        <v>146</v>
      </c>
      <c r="H103" s="3" t="s">
        <v>122</v>
      </c>
      <c r="I103" s="3" t="s">
        <v>120</v>
      </c>
      <c r="J103" s="4" t="s">
        <v>124</v>
      </c>
      <c r="K103" s="3" t="s">
        <v>31</v>
      </c>
      <c r="L103" s="3" t="s">
        <v>90</v>
      </c>
      <c r="M103" s="3" t="n">
        <v>200</v>
      </c>
      <c r="N103" s="3" t="s">
        <v>222</v>
      </c>
      <c r="O103" s="3" t="s">
        <v>91</v>
      </c>
      <c r="P103" s="3" t="s">
        <v>92</v>
      </c>
      <c r="Q103" s="3" t="s">
        <v>48</v>
      </c>
      <c r="R103" s="3" t="s">
        <v>49</v>
      </c>
      <c r="S103" s="5" t="n">
        <v>46093</v>
      </c>
      <c r="T103" s="5" t="n">
        <v>46193</v>
      </c>
      <c r="U103" s="3"/>
      <c r="V103" s="3" t="n">
        <f aca="false">COUNTIFS(Colours!$A$2:$A$742,$A103,Colours!$D$2:$D$742,"Ordered")</f>
        <v>2</v>
      </c>
    </row>
    <row r="104" customFormat="false" ht="15" hidden="false" customHeight="false" outlineLevel="0" collapsed="false">
      <c r="A104" s="3" t="s">
        <v>327</v>
      </c>
      <c r="B104" s="3" t="s">
        <v>252</v>
      </c>
      <c r="C104" s="3" t="s">
        <v>272</v>
      </c>
      <c r="D104" s="3" t="s">
        <v>25</v>
      </c>
      <c r="E104" s="3" t="s">
        <v>26</v>
      </c>
      <c r="F104" s="3" t="s">
        <v>27</v>
      </c>
      <c r="G104" s="3" t="s">
        <v>132</v>
      </c>
      <c r="H104" s="3" t="s">
        <v>232</v>
      </c>
      <c r="I104" s="3" t="s">
        <v>134</v>
      </c>
      <c r="J104" s="4" t="n">
        <v>58.31</v>
      </c>
      <c r="K104" s="3" t="s">
        <v>31</v>
      </c>
      <c r="L104" s="3" t="s">
        <v>32</v>
      </c>
      <c r="M104" s="3" t="n">
        <v>150</v>
      </c>
      <c r="N104" s="3" t="n">
        <v>9</v>
      </c>
      <c r="O104" s="3" t="s">
        <v>33</v>
      </c>
      <c r="P104" s="3" t="s">
        <v>103</v>
      </c>
      <c r="Q104" s="3" t="s">
        <v>48</v>
      </c>
      <c r="R104" s="3" t="s">
        <v>144</v>
      </c>
      <c r="S104" s="5" t="n">
        <v>46124</v>
      </c>
      <c r="T104" s="5" t="n">
        <v>46224</v>
      </c>
      <c r="U104" s="3"/>
      <c r="V104" s="3" t="n">
        <f aca="false">COUNTIFS(Colours!$A$2:$A$742,$A104,Colours!$D$2:$D$742,"Ordered")</f>
        <v>1</v>
      </c>
    </row>
    <row r="105" customFormat="false" ht="15" hidden="false" customHeight="false" outlineLevel="0" collapsed="false">
      <c r="A105" s="3" t="s">
        <v>328</v>
      </c>
      <c r="B105" s="3" t="s">
        <v>126</v>
      </c>
      <c r="C105" s="3" t="s">
        <v>272</v>
      </c>
      <c r="D105" s="3" t="s">
        <v>84</v>
      </c>
      <c r="E105" s="3" t="s">
        <v>85</v>
      </c>
      <c r="F105" s="3" t="s">
        <v>86</v>
      </c>
      <c r="G105" s="3" t="s">
        <v>87</v>
      </c>
      <c r="H105" s="3" t="s">
        <v>119</v>
      </c>
      <c r="I105" s="3" t="s">
        <v>89</v>
      </c>
      <c r="J105" s="4" t="n">
        <v>11.48</v>
      </c>
      <c r="K105" s="3" t="s">
        <v>31</v>
      </c>
      <c r="L105" s="3" t="s">
        <v>90</v>
      </c>
      <c r="M105" s="3" t="n">
        <v>300</v>
      </c>
      <c r="N105" s="3" t="n">
        <v>9</v>
      </c>
      <c r="O105" s="3" t="s">
        <v>91</v>
      </c>
      <c r="P105" s="3" t="s">
        <v>92</v>
      </c>
      <c r="Q105" s="3" t="s">
        <v>48</v>
      </c>
      <c r="R105" s="3" t="s">
        <v>80</v>
      </c>
      <c r="S105" s="5" t="n">
        <v>46143</v>
      </c>
      <c r="T105" s="5" t="n">
        <v>46181</v>
      </c>
      <c r="U105" s="3"/>
      <c r="V105" s="3" t="n">
        <f aca="false">COUNTIFS(Colours!$A$2:$A$742,$A105,Colours!$D$2:$D$742,"Ordered")</f>
        <v>1</v>
      </c>
    </row>
    <row r="106" customFormat="false" ht="15" hidden="false" customHeight="false" outlineLevel="0" collapsed="false">
      <c r="A106" s="3" t="s">
        <v>329</v>
      </c>
      <c r="B106" s="3" t="s">
        <v>330</v>
      </c>
      <c r="C106" s="3" t="s">
        <v>272</v>
      </c>
      <c r="D106" s="3" t="s">
        <v>172</v>
      </c>
      <c r="E106" s="3" t="s">
        <v>173</v>
      </c>
      <c r="F106" s="3" t="s">
        <v>174</v>
      </c>
      <c r="G106" s="3" t="s">
        <v>160</v>
      </c>
      <c r="H106" s="3"/>
      <c r="I106" s="3" t="s">
        <v>177</v>
      </c>
      <c r="J106" s="4" t="s">
        <v>222</v>
      </c>
      <c r="K106" s="3" t="s">
        <v>31</v>
      </c>
      <c r="L106" s="3" t="s">
        <v>178</v>
      </c>
      <c r="M106" s="3" t="n">
        <v>50</v>
      </c>
      <c r="N106" s="3" t="n">
        <v>4</v>
      </c>
      <c r="O106" s="3" t="s">
        <v>33</v>
      </c>
      <c r="P106" s="3" t="s">
        <v>57</v>
      </c>
      <c r="Q106" s="3" t="s">
        <v>68</v>
      </c>
      <c r="R106" s="3" t="s">
        <v>80</v>
      </c>
      <c r="S106" s="5" t="n">
        <v>46106</v>
      </c>
      <c r="T106" s="5" t="n">
        <v>46232</v>
      </c>
      <c r="U106" s="3"/>
      <c r="V106" s="3" t="n">
        <f aca="false">COUNTIFS(Colours!$A$2:$A$742,$A106,Colours!$D$2:$D$742,"Ordered")</f>
        <v>2</v>
      </c>
    </row>
    <row r="107" customFormat="false" ht="15" hidden="false" customHeight="false" outlineLevel="0" collapsed="false">
      <c r="A107" s="3" t="s">
        <v>331</v>
      </c>
      <c r="B107" s="3" t="s">
        <v>109</v>
      </c>
      <c r="C107" s="3" t="s">
        <v>272</v>
      </c>
      <c r="D107" s="3" t="s">
        <v>110</v>
      </c>
      <c r="E107" s="3" t="s">
        <v>111</v>
      </c>
      <c r="F107" s="3" t="s">
        <v>86</v>
      </c>
      <c r="G107" s="3" t="s">
        <v>87</v>
      </c>
      <c r="H107" s="3" t="s">
        <v>119</v>
      </c>
      <c r="I107" s="3" t="s">
        <v>120</v>
      </c>
      <c r="J107" s="4" t="n">
        <v>7.87</v>
      </c>
      <c r="K107" s="3" t="s">
        <v>31</v>
      </c>
      <c r="L107" s="3" t="s">
        <v>90</v>
      </c>
      <c r="M107" s="3" t="n">
        <v>200</v>
      </c>
      <c r="N107" s="3" t="n">
        <v>14</v>
      </c>
      <c r="O107" s="3" t="s">
        <v>33</v>
      </c>
      <c r="P107" s="3" t="s">
        <v>128</v>
      </c>
      <c r="Q107" s="3" t="s">
        <v>48</v>
      </c>
      <c r="R107" s="3" t="s">
        <v>144</v>
      </c>
      <c r="S107" s="5" t="n">
        <v>46097</v>
      </c>
      <c r="T107" s="5" t="n">
        <v>46208</v>
      </c>
      <c r="U107" s="3"/>
      <c r="V107" s="3" t="n">
        <f aca="false">COUNTIFS(Colours!$A$2:$A$742,$A107,Colours!$D$2:$D$742,"Ordered")</f>
        <v>1</v>
      </c>
    </row>
    <row r="108" customFormat="false" ht="15" hidden="false" customHeight="false" outlineLevel="0" collapsed="false">
      <c r="A108" s="3" t="s">
        <v>332</v>
      </c>
      <c r="B108" s="3" t="s">
        <v>39</v>
      </c>
      <c r="C108" s="3" t="s">
        <v>272</v>
      </c>
      <c r="D108" s="3" t="s">
        <v>40</v>
      </c>
      <c r="E108" s="3" t="s">
        <v>41</v>
      </c>
      <c r="F108" s="3" t="s">
        <v>42</v>
      </c>
      <c r="G108" s="3" t="s">
        <v>218</v>
      </c>
      <c r="H108" s="3" t="s">
        <v>333</v>
      </c>
      <c r="I108" s="3"/>
      <c r="J108" s="4" t="s">
        <v>124</v>
      </c>
      <c r="K108" s="3" t="s">
        <v>31</v>
      </c>
      <c r="L108" s="3" t="s">
        <v>32</v>
      </c>
      <c r="M108" s="3"/>
      <c r="N108" s="3"/>
      <c r="O108" s="3" t="s">
        <v>46</v>
      </c>
      <c r="P108" s="3"/>
      <c r="Q108" s="3" t="s">
        <v>48</v>
      </c>
      <c r="R108" s="3" t="s">
        <v>58</v>
      </c>
      <c r="S108" s="5" t="n">
        <v>46105</v>
      </c>
      <c r="T108" s="5" t="n">
        <v>46241</v>
      </c>
      <c r="U108" s="3"/>
      <c r="V108" s="3" t="n">
        <f aca="false">COUNTIFS(Colours!$A$2:$A$742,$A108,Colours!$D$2:$D$742,"Ordered")</f>
        <v>2</v>
      </c>
    </row>
    <row r="109" customFormat="false" ht="15" hidden="false" customHeight="false" outlineLevel="0" collapsed="false">
      <c r="A109" s="3" t="s">
        <v>334</v>
      </c>
      <c r="B109" s="3" t="s">
        <v>109</v>
      </c>
      <c r="C109" s="3" t="s">
        <v>272</v>
      </c>
      <c r="D109" s="3" t="s">
        <v>84</v>
      </c>
      <c r="E109" s="3" t="s">
        <v>85</v>
      </c>
      <c r="F109" s="3" t="s">
        <v>86</v>
      </c>
      <c r="G109" s="3" t="s">
        <v>87</v>
      </c>
      <c r="H109" s="3"/>
      <c r="I109" s="3" t="s">
        <v>113</v>
      </c>
      <c r="J109" s="4" t="n">
        <v>14.7</v>
      </c>
      <c r="K109" s="3" t="s">
        <v>31</v>
      </c>
      <c r="L109" s="3" t="s">
        <v>90</v>
      </c>
      <c r="M109" s="3" t="n">
        <v>500</v>
      </c>
      <c r="N109" s="3" t="s">
        <v>124</v>
      </c>
      <c r="O109" s="3" t="s">
        <v>91</v>
      </c>
      <c r="P109" s="3" t="s">
        <v>128</v>
      </c>
      <c r="Q109" s="3" t="s">
        <v>48</v>
      </c>
      <c r="R109" s="3" t="s">
        <v>144</v>
      </c>
      <c r="S109" s="5" t="n">
        <v>46120</v>
      </c>
      <c r="T109" s="5" t="n">
        <v>46195</v>
      </c>
      <c r="U109" s="3"/>
      <c r="V109" s="3" t="n">
        <f aca="false">COUNTIFS(Colours!$A$2:$A$742,$A109,Colours!$D$2:$D$742,"Ordered")</f>
        <v>3</v>
      </c>
    </row>
    <row r="110" customFormat="false" ht="15" hidden="false" customHeight="false" outlineLevel="0" collapsed="false">
      <c r="A110" s="3" t="s">
        <v>335</v>
      </c>
      <c r="B110" s="3" t="s">
        <v>330</v>
      </c>
      <c r="C110" s="3" t="s">
        <v>272</v>
      </c>
      <c r="D110" s="3" t="s">
        <v>172</v>
      </c>
      <c r="E110" s="3" t="s">
        <v>173</v>
      </c>
      <c r="F110" s="3" t="s">
        <v>174</v>
      </c>
      <c r="G110" s="3" t="s">
        <v>210</v>
      </c>
      <c r="H110" s="3" t="s">
        <v>336</v>
      </c>
      <c r="I110" s="3" t="s">
        <v>177</v>
      </c>
      <c r="J110" s="4"/>
      <c r="K110" s="3" t="s">
        <v>31</v>
      </c>
      <c r="L110" s="3" t="s">
        <v>178</v>
      </c>
      <c r="M110" s="3" t="s">
        <v>124</v>
      </c>
      <c r="N110" s="3" t="n">
        <v>8</v>
      </c>
      <c r="O110" s="3" t="s">
        <v>33</v>
      </c>
      <c r="P110" s="3" t="s">
        <v>57</v>
      </c>
      <c r="Q110" s="3" t="s">
        <v>48</v>
      </c>
      <c r="R110" s="3" t="s">
        <v>36</v>
      </c>
      <c r="S110" s="5" t="n">
        <v>46119</v>
      </c>
      <c r="T110" s="5" t="n">
        <v>46171</v>
      </c>
      <c r="U110" s="3"/>
      <c r="V110" s="3" t="n">
        <f aca="false">COUNTIFS(Colours!$A$2:$A$742,$A110,Colours!$D$2:$D$742,"Ordered")</f>
        <v>0</v>
      </c>
    </row>
    <row r="111" customFormat="false" ht="15" hidden="false" customHeight="false" outlineLevel="0" collapsed="false">
      <c r="A111" s="3" t="s">
        <v>337</v>
      </c>
      <c r="B111" s="3" t="s">
        <v>83</v>
      </c>
      <c r="C111" s="3" t="s">
        <v>272</v>
      </c>
      <c r="D111" s="3" t="s">
        <v>84</v>
      </c>
      <c r="E111" s="3" t="s">
        <v>85</v>
      </c>
      <c r="F111" s="3" t="s">
        <v>86</v>
      </c>
      <c r="G111" s="3" t="s">
        <v>146</v>
      </c>
      <c r="H111" s="3" t="s">
        <v>88</v>
      </c>
      <c r="I111" s="3" t="s">
        <v>89</v>
      </c>
      <c r="J111" s="4" t="n">
        <v>6.53</v>
      </c>
      <c r="K111" s="3" t="s">
        <v>31</v>
      </c>
      <c r="L111" s="3" t="s">
        <v>90</v>
      </c>
      <c r="M111" s="3" t="n">
        <v>200</v>
      </c>
      <c r="N111" s="3" t="n">
        <v>12</v>
      </c>
      <c r="O111" s="3" t="s">
        <v>91</v>
      </c>
      <c r="P111" s="3" t="s">
        <v>128</v>
      </c>
      <c r="Q111" s="3" t="s">
        <v>48</v>
      </c>
      <c r="R111" s="3" t="s">
        <v>36</v>
      </c>
      <c r="S111" s="5" t="n">
        <v>46120</v>
      </c>
      <c r="T111" s="5" t="n">
        <v>46142</v>
      </c>
      <c r="U111" s="3"/>
      <c r="V111" s="3" t="n">
        <f aca="false">COUNTIFS(Colours!$A$2:$A$742,$A111,Colours!$D$2:$D$742,"Ordered")</f>
        <v>0</v>
      </c>
    </row>
    <row r="112" customFormat="false" ht="15" hidden="false" customHeight="false" outlineLevel="0" collapsed="false">
      <c r="A112" s="3" t="s">
        <v>338</v>
      </c>
      <c r="B112" s="3" t="s">
        <v>330</v>
      </c>
      <c r="C112" s="3" t="s">
        <v>272</v>
      </c>
      <c r="D112" s="3" t="s">
        <v>172</v>
      </c>
      <c r="E112" s="3" t="s">
        <v>173</v>
      </c>
      <c r="F112" s="3" t="s">
        <v>174</v>
      </c>
      <c r="G112" s="3" t="s">
        <v>301</v>
      </c>
      <c r="H112" s="3" t="s">
        <v>176</v>
      </c>
      <c r="I112" s="3" t="s">
        <v>177</v>
      </c>
      <c r="J112" s="4" t="n">
        <v>112.71</v>
      </c>
      <c r="K112" s="3" t="s">
        <v>31</v>
      </c>
      <c r="L112" s="3" t="s">
        <v>178</v>
      </c>
      <c r="M112" s="3" t="s">
        <v>222</v>
      </c>
      <c r="N112" s="3" t="n">
        <v>3</v>
      </c>
      <c r="O112" s="3" t="s">
        <v>33</v>
      </c>
      <c r="P112" s="3" t="s">
        <v>57</v>
      </c>
      <c r="Q112" s="3" t="s">
        <v>35</v>
      </c>
      <c r="R112" s="3" t="s">
        <v>58</v>
      </c>
      <c r="S112" s="5" t="n">
        <v>46108</v>
      </c>
      <c r="T112" s="5" t="n">
        <v>46220</v>
      </c>
      <c r="U112" s="3" t="s">
        <v>158</v>
      </c>
      <c r="V112" s="3" t="n">
        <f aca="false">COUNTIFS(Colours!$A$2:$A$742,$A112,Colours!$D$2:$D$742,"Ordered")</f>
        <v>1</v>
      </c>
    </row>
    <row r="113" customFormat="false" ht="15" hidden="false" customHeight="false" outlineLevel="0" collapsed="false">
      <c r="A113" s="3" t="s">
        <v>339</v>
      </c>
      <c r="B113" s="3" t="s">
        <v>239</v>
      </c>
      <c r="C113" s="3" t="s">
        <v>272</v>
      </c>
      <c r="D113" s="3" t="s">
        <v>62</v>
      </c>
      <c r="E113" s="3" t="s">
        <v>63</v>
      </c>
      <c r="F113" s="3" t="s">
        <v>42</v>
      </c>
      <c r="G113" s="3" t="s">
        <v>261</v>
      </c>
      <c r="H113" s="3" t="s">
        <v>340</v>
      </c>
      <c r="I113" s="3" t="s">
        <v>198</v>
      </c>
      <c r="J113" s="4" t="n">
        <v>32.26</v>
      </c>
      <c r="K113" s="3" t="s">
        <v>31</v>
      </c>
      <c r="L113" s="3" t="s">
        <v>32</v>
      </c>
      <c r="M113" s="3" t="n">
        <v>150</v>
      </c>
      <c r="N113" s="3" t="s">
        <v>222</v>
      </c>
      <c r="O113" s="3" t="s">
        <v>67</v>
      </c>
      <c r="P113" s="3" t="s">
        <v>47</v>
      </c>
      <c r="Q113" s="3" t="s">
        <v>48</v>
      </c>
      <c r="R113" s="3" t="s">
        <v>144</v>
      </c>
      <c r="S113" s="5" t="n">
        <v>46111</v>
      </c>
      <c r="T113" s="5" t="n">
        <v>46161</v>
      </c>
      <c r="U113" s="3"/>
      <c r="V113" s="3" t="n">
        <f aca="false">COUNTIFS(Colours!$A$2:$A$742,$A113,Colours!$D$2:$D$742,"Ordered")</f>
        <v>1</v>
      </c>
    </row>
    <row r="114" customFormat="false" ht="15" hidden="false" customHeight="false" outlineLevel="0" collapsed="false">
      <c r="A114" s="3" t="s">
        <v>341</v>
      </c>
      <c r="B114" s="3" t="s">
        <v>61</v>
      </c>
      <c r="C114" s="3" t="s">
        <v>272</v>
      </c>
      <c r="D114" s="3" t="s">
        <v>52</v>
      </c>
      <c r="E114" s="3" t="s">
        <v>53</v>
      </c>
      <c r="F114" s="3" t="s">
        <v>64</v>
      </c>
      <c r="G114" s="3" t="s">
        <v>65</v>
      </c>
      <c r="H114" s="3"/>
      <c r="I114" s="3" t="s">
        <v>45</v>
      </c>
      <c r="J114" s="4" t="n">
        <v>50.94</v>
      </c>
      <c r="K114" s="3" t="s">
        <v>31</v>
      </c>
      <c r="L114" s="3" t="s">
        <v>32</v>
      </c>
      <c r="M114" s="3" t="s">
        <v>222</v>
      </c>
      <c r="N114" s="3" t="n">
        <v>3</v>
      </c>
      <c r="O114" s="3" t="s">
        <v>33</v>
      </c>
      <c r="P114" s="3" t="s">
        <v>34</v>
      </c>
      <c r="Q114" s="3" t="s">
        <v>48</v>
      </c>
      <c r="R114" s="3" t="s">
        <v>36</v>
      </c>
      <c r="S114" s="5" t="n">
        <v>46137</v>
      </c>
      <c r="T114" s="5" t="n">
        <v>46163</v>
      </c>
      <c r="U114" s="3"/>
      <c r="V114" s="3" t="n">
        <f aca="false">COUNTIFS(Colours!$A$2:$A$742,$A114,Colours!$D$2:$D$742,"Ordered")</f>
        <v>0</v>
      </c>
    </row>
    <row r="115" customFormat="false" ht="15" hidden="false" customHeight="false" outlineLevel="0" collapsed="false">
      <c r="A115" s="3" t="s">
        <v>342</v>
      </c>
      <c r="B115" s="3" t="s">
        <v>126</v>
      </c>
      <c r="C115" s="3" t="s">
        <v>272</v>
      </c>
      <c r="D115" s="3" t="s">
        <v>116</v>
      </c>
      <c r="E115" s="3" t="s">
        <v>117</v>
      </c>
      <c r="F115" s="3" t="s">
        <v>86</v>
      </c>
      <c r="G115" s="3" t="s">
        <v>146</v>
      </c>
      <c r="H115" s="3" t="s">
        <v>122</v>
      </c>
      <c r="I115" s="3" t="s">
        <v>120</v>
      </c>
      <c r="J115" s="4" t="n">
        <v>9.44</v>
      </c>
      <c r="K115" s="3" t="s">
        <v>31</v>
      </c>
      <c r="L115" s="3" t="s">
        <v>90</v>
      </c>
      <c r="M115" s="3"/>
      <c r="N115" s="3" t="n">
        <v>3</v>
      </c>
      <c r="O115" s="3"/>
      <c r="P115" s="3" t="s">
        <v>92</v>
      </c>
      <c r="Q115" s="3" t="s">
        <v>35</v>
      </c>
      <c r="R115" s="3" t="s">
        <v>36</v>
      </c>
      <c r="S115" s="5" t="n">
        <v>46134</v>
      </c>
      <c r="T115" s="5" t="n">
        <v>46196</v>
      </c>
      <c r="U115" s="3" t="s">
        <v>158</v>
      </c>
      <c r="V115" s="3" t="n">
        <f aca="false">COUNTIFS(Colours!$A$2:$A$742,$A115,Colours!$D$2:$D$742,"Ordered")</f>
        <v>2</v>
      </c>
    </row>
    <row r="116" customFormat="false" ht="15" hidden="false" customHeight="false" outlineLevel="0" collapsed="false">
      <c r="A116" s="3" t="s">
        <v>343</v>
      </c>
      <c r="B116" s="3" t="s">
        <v>105</v>
      </c>
      <c r="C116" s="3" t="s">
        <v>272</v>
      </c>
      <c r="D116" s="3" t="s">
        <v>71</v>
      </c>
      <c r="E116" s="3" t="s">
        <v>72</v>
      </c>
      <c r="F116" s="3" t="s">
        <v>73</v>
      </c>
      <c r="G116" s="3" t="s">
        <v>74</v>
      </c>
      <c r="H116" s="3" t="s">
        <v>344</v>
      </c>
      <c r="I116" s="3" t="s">
        <v>45</v>
      </c>
      <c r="J116" s="4" t="n">
        <v>27.31</v>
      </c>
      <c r="K116" s="3" t="s">
        <v>31</v>
      </c>
      <c r="L116" s="3" t="s">
        <v>32</v>
      </c>
      <c r="M116" s="3" t="n">
        <v>100</v>
      </c>
      <c r="N116" s="3" t="n">
        <v>3</v>
      </c>
      <c r="O116" s="3" t="s">
        <v>33</v>
      </c>
      <c r="P116" s="3" t="s">
        <v>34</v>
      </c>
      <c r="Q116" s="3" t="s">
        <v>48</v>
      </c>
      <c r="R116" s="3" t="s">
        <v>36</v>
      </c>
      <c r="S116" s="5" t="n">
        <v>46128</v>
      </c>
      <c r="T116" s="5" t="n">
        <v>46227</v>
      </c>
      <c r="U116" s="3"/>
      <c r="V116" s="3" t="n">
        <f aca="false">COUNTIFS(Colours!$A$2:$A$742,$A116,Colours!$D$2:$D$742,"Ordered")</f>
        <v>2</v>
      </c>
    </row>
    <row r="117" customFormat="false" ht="15" hidden="false" customHeight="false" outlineLevel="0" collapsed="false">
      <c r="A117" s="3" t="s">
        <v>345</v>
      </c>
      <c r="B117" s="3" t="s">
        <v>242</v>
      </c>
      <c r="C117" s="3" t="s">
        <v>272</v>
      </c>
      <c r="D117" s="3" t="s">
        <v>71</v>
      </c>
      <c r="E117" s="3" t="s">
        <v>72</v>
      </c>
      <c r="F117" s="3" t="s">
        <v>73</v>
      </c>
      <c r="G117" s="3" t="s">
        <v>74</v>
      </c>
      <c r="H117" s="3" t="s">
        <v>257</v>
      </c>
      <c r="I117" s="3" t="s">
        <v>30</v>
      </c>
      <c r="J117" s="4" t="n">
        <v>22.97</v>
      </c>
      <c r="K117" s="3" t="s">
        <v>31</v>
      </c>
      <c r="L117" s="3" t="s">
        <v>32</v>
      </c>
      <c r="M117" s="3" t="n">
        <v>50</v>
      </c>
      <c r="N117" s="3"/>
      <c r="O117" s="3" t="s">
        <v>33</v>
      </c>
      <c r="P117" s="3"/>
      <c r="Q117" s="3" t="s">
        <v>35</v>
      </c>
      <c r="R117" s="3" t="s">
        <v>36</v>
      </c>
      <c r="S117" s="5" t="n">
        <v>46142</v>
      </c>
      <c r="T117" s="5" t="n">
        <v>46177</v>
      </c>
      <c r="U117" s="3" t="s">
        <v>81</v>
      </c>
      <c r="V117" s="3" t="n">
        <f aca="false">COUNTIFS(Colours!$A$2:$A$742,$A117,Colours!$D$2:$D$742,"Ordered")</f>
        <v>0</v>
      </c>
    </row>
    <row r="118" customFormat="false" ht="15" hidden="false" customHeight="false" outlineLevel="0" collapsed="false">
      <c r="A118" s="3" t="s">
        <v>346</v>
      </c>
      <c r="B118" s="3" t="s">
        <v>217</v>
      </c>
      <c r="C118" s="3" t="s">
        <v>272</v>
      </c>
      <c r="D118" s="3" t="s">
        <v>62</v>
      </c>
      <c r="E118" s="3" t="s">
        <v>63</v>
      </c>
      <c r="F118" s="3" t="s">
        <v>42</v>
      </c>
      <c r="G118" s="3" t="s">
        <v>261</v>
      </c>
      <c r="H118" s="3" t="s">
        <v>347</v>
      </c>
      <c r="I118" s="3" t="s">
        <v>30</v>
      </c>
      <c r="J118" s="4" t="n">
        <v>16.57</v>
      </c>
      <c r="K118" s="3" t="s">
        <v>31</v>
      </c>
      <c r="L118" s="3" t="s">
        <v>32</v>
      </c>
      <c r="M118" s="3" t="n">
        <v>20</v>
      </c>
      <c r="N118" s="3" t="n">
        <v>6</v>
      </c>
      <c r="O118" s="3" t="s">
        <v>67</v>
      </c>
      <c r="P118" s="3" t="s">
        <v>34</v>
      </c>
      <c r="Q118" s="3" t="s">
        <v>68</v>
      </c>
      <c r="R118" s="3" t="s">
        <v>36</v>
      </c>
      <c r="S118" s="5" t="n">
        <v>46143</v>
      </c>
      <c r="T118" s="5" t="n">
        <v>46187</v>
      </c>
      <c r="U118" s="3"/>
      <c r="V118" s="3" t="n">
        <f aca="false">COUNTIFS(Colours!$A$2:$A$742,$A118,Colours!$D$2:$D$742,"Ordered")</f>
        <v>2</v>
      </c>
    </row>
    <row r="119" customFormat="false" ht="15" hidden="false" customHeight="false" outlineLevel="0" collapsed="false">
      <c r="A119" s="3" t="s">
        <v>348</v>
      </c>
      <c r="B119" s="3" t="s">
        <v>126</v>
      </c>
      <c r="C119" s="3" t="s">
        <v>272</v>
      </c>
      <c r="D119" s="3" t="s">
        <v>84</v>
      </c>
      <c r="E119" s="3" t="s">
        <v>85</v>
      </c>
      <c r="F119" s="3" t="s">
        <v>86</v>
      </c>
      <c r="G119" s="3" t="s">
        <v>127</v>
      </c>
      <c r="H119" s="3"/>
      <c r="I119" s="3"/>
      <c r="J119" s="4" t="n">
        <v>6.46</v>
      </c>
      <c r="K119" s="3" t="s">
        <v>31</v>
      </c>
      <c r="L119" s="3" t="s">
        <v>90</v>
      </c>
      <c r="M119" s="3" t="n">
        <v>300</v>
      </c>
      <c r="N119" s="3" t="n">
        <v>3</v>
      </c>
      <c r="O119" s="3" t="s">
        <v>91</v>
      </c>
      <c r="P119" s="3" t="s">
        <v>128</v>
      </c>
      <c r="Q119" s="3" t="s">
        <v>68</v>
      </c>
      <c r="R119" s="3" t="s">
        <v>80</v>
      </c>
      <c r="S119" s="5" t="n">
        <v>46101</v>
      </c>
      <c r="T119" s="5" t="n">
        <v>46150</v>
      </c>
      <c r="U119" s="3"/>
      <c r="V119" s="3" t="n">
        <f aca="false">COUNTIFS(Colours!$A$2:$A$742,$A119,Colours!$D$2:$D$742,"Ordered")</f>
        <v>0</v>
      </c>
    </row>
    <row r="120" customFormat="false" ht="15" hidden="false" customHeight="false" outlineLevel="0" collapsed="false">
      <c r="A120" s="3" t="s">
        <v>349</v>
      </c>
      <c r="B120" s="3" t="s">
        <v>148</v>
      </c>
      <c r="C120" s="3" t="s">
        <v>272</v>
      </c>
      <c r="D120" s="3" t="s">
        <v>155</v>
      </c>
      <c r="E120" s="3" t="s">
        <v>156</v>
      </c>
      <c r="F120" s="3" t="s">
        <v>99</v>
      </c>
      <c r="G120" s="3" t="s">
        <v>149</v>
      </c>
      <c r="H120" s="3" t="s">
        <v>350</v>
      </c>
      <c r="I120" s="3" t="s">
        <v>206</v>
      </c>
      <c r="J120" s="4" t="s">
        <v>222</v>
      </c>
      <c r="K120" s="3" t="s">
        <v>31</v>
      </c>
      <c r="L120" s="3" t="s">
        <v>32</v>
      </c>
      <c r="M120" s="3" t="n">
        <v>100</v>
      </c>
      <c r="N120" s="3" t="n">
        <v>6</v>
      </c>
      <c r="O120" s="3" t="s">
        <v>91</v>
      </c>
      <c r="P120" s="3" t="s">
        <v>34</v>
      </c>
      <c r="Q120" s="3" t="s">
        <v>48</v>
      </c>
      <c r="R120" s="3" t="s">
        <v>36</v>
      </c>
      <c r="S120" s="5" t="n">
        <v>46107</v>
      </c>
      <c r="T120" s="5" t="n">
        <v>46181</v>
      </c>
      <c r="U120" s="3"/>
      <c r="V120" s="3" t="n">
        <f aca="false">COUNTIFS(Colours!$A$2:$A$742,$A120,Colours!$D$2:$D$742,"Ordered")</f>
        <v>3</v>
      </c>
    </row>
    <row r="121" customFormat="false" ht="15" hidden="false" customHeight="false" outlineLevel="0" collapsed="false">
      <c r="A121" s="3" t="s">
        <v>351</v>
      </c>
      <c r="B121" s="3" t="s">
        <v>330</v>
      </c>
      <c r="C121" s="3" t="s">
        <v>272</v>
      </c>
      <c r="D121" s="3" t="s">
        <v>172</v>
      </c>
      <c r="E121" s="3" t="s">
        <v>173</v>
      </c>
      <c r="F121" s="3" t="s">
        <v>174</v>
      </c>
      <c r="G121" s="3" t="s">
        <v>175</v>
      </c>
      <c r="H121" s="3" t="s">
        <v>176</v>
      </c>
      <c r="I121" s="3" t="s">
        <v>177</v>
      </c>
      <c r="J121" s="4" t="n">
        <v>116.3</v>
      </c>
      <c r="K121" s="3" t="s">
        <v>31</v>
      </c>
      <c r="L121" s="3" t="s">
        <v>178</v>
      </c>
      <c r="M121" s="3" t="n">
        <v>100</v>
      </c>
      <c r="N121" s="3" t="n">
        <v>3</v>
      </c>
      <c r="O121" s="3" t="s">
        <v>33</v>
      </c>
      <c r="P121" s="3" t="s">
        <v>34</v>
      </c>
      <c r="Q121" s="3" t="s">
        <v>48</v>
      </c>
      <c r="R121" s="3" t="s">
        <v>36</v>
      </c>
      <c r="S121" s="5" t="n">
        <v>46149</v>
      </c>
      <c r="T121" s="5" t="n">
        <v>46245</v>
      </c>
      <c r="U121" s="3"/>
      <c r="V121" s="3" t="n">
        <f aca="false">COUNTIFS(Colours!$A$2:$A$742,$A121,Colours!$D$2:$D$742,"Ordered")</f>
        <v>4</v>
      </c>
    </row>
    <row r="122" customFormat="false" ht="15" hidden="false" customHeight="false" outlineLevel="0" collapsed="false">
      <c r="A122" s="3" t="s">
        <v>352</v>
      </c>
      <c r="B122" s="3" t="s">
        <v>137</v>
      </c>
      <c r="C122" s="3" t="s">
        <v>272</v>
      </c>
      <c r="D122" s="3" t="s">
        <v>116</v>
      </c>
      <c r="E122" s="3" t="s">
        <v>117</v>
      </c>
      <c r="F122" s="3" t="s">
        <v>86</v>
      </c>
      <c r="G122" s="3" t="s">
        <v>87</v>
      </c>
      <c r="H122" s="3" t="s">
        <v>88</v>
      </c>
      <c r="I122" s="3" t="s">
        <v>120</v>
      </c>
      <c r="J122" s="4"/>
      <c r="K122" s="3" t="s">
        <v>31</v>
      </c>
      <c r="L122" s="3" t="s">
        <v>90</v>
      </c>
      <c r="M122" s="3" t="n">
        <v>300</v>
      </c>
      <c r="N122" s="3" t="n">
        <v>11</v>
      </c>
      <c r="O122" s="3" t="s">
        <v>91</v>
      </c>
      <c r="P122" s="3" t="s">
        <v>128</v>
      </c>
      <c r="Q122" s="3" t="s">
        <v>48</v>
      </c>
      <c r="R122" s="3" t="s">
        <v>80</v>
      </c>
      <c r="S122" s="5" t="n">
        <v>46114</v>
      </c>
      <c r="T122" s="5" t="n">
        <v>46215</v>
      </c>
      <c r="U122" s="3"/>
      <c r="V122" s="3" t="n">
        <f aca="false">COUNTIFS(Colours!$A$2:$A$742,$A122,Colours!$D$2:$D$742,"Ordered")</f>
        <v>4</v>
      </c>
    </row>
    <row r="123" customFormat="false" ht="15" hidden="false" customHeight="false" outlineLevel="0" collapsed="false">
      <c r="A123" s="3" t="s">
        <v>353</v>
      </c>
      <c r="B123" s="3" t="s">
        <v>239</v>
      </c>
      <c r="C123" s="3" t="s">
        <v>272</v>
      </c>
      <c r="D123" s="3" t="s">
        <v>62</v>
      </c>
      <c r="E123" s="3" t="s">
        <v>63</v>
      </c>
      <c r="F123" s="3" t="s">
        <v>42</v>
      </c>
      <c r="G123" s="3" t="s">
        <v>218</v>
      </c>
      <c r="H123" s="3" t="s">
        <v>133</v>
      </c>
      <c r="I123" s="3" t="s">
        <v>45</v>
      </c>
      <c r="J123" s="4" t="n">
        <v>38.22</v>
      </c>
      <c r="K123" s="3" t="s">
        <v>31</v>
      </c>
      <c r="L123" s="3" t="s">
        <v>32</v>
      </c>
      <c r="M123" s="3" t="n">
        <v>100</v>
      </c>
      <c r="N123" s="3" t="n">
        <v>11</v>
      </c>
      <c r="O123" s="3" t="s">
        <v>67</v>
      </c>
      <c r="P123" s="3"/>
      <c r="Q123" s="3" t="s">
        <v>48</v>
      </c>
      <c r="R123" s="3" t="s">
        <v>58</v>
      </c>
      <c r="S123" s="5" t="n">
        <v>46137</v>
      </c>
      <c r="T123" s="5" t="n">
        <v>46227</v>
      </c>
      <c r="U123" s="3"/>
      <c r="V123" s="3" t="n">
        <f aca="false">COUNTIFS(Colours!$A$2:$A$742,$A123,Colours!$D$2:$D$742,"Ordered")</f>
        <v>3</v>
      </c>
    </row>
    <row r="124" customFormat="false" ht="15" hidden="false" customHeight="false" outlineLevel="0" collapsed="false">
      <c r="A124" s="3" t="s">
        <v>354</v>
      </c>
      <c r="B124" s="3" t="s">
        <v>137</v>
      </c>
      <c r="C124" s="3" t="s">
        <v>272</v>
      </c>
      <c r="D124" s="3" t="s">
        <v>116</v>
      </c>
      <c r="E124" s="3" t="s">
        <v>117</v>
      </c>
      <c r="F124" s="3" t="s">
        <v>86</v>
      </c>
      <c r="G124" s="3" t="s">
        <v>146</v>
      </c>
      <c r="H124" s="3" t="s">
        <v>119</v>
      </c>
      <c r="I124" s="3" t="s">
        <v>123</v>
      </c>
      <c r="J124" s="4" t="n">
        <v>15.48</v>
      </c>
      <c r="K124" s="3" t="s">
        <v>31</v>
      </c>
      <c r="L124" s="3" t="s">
        <v>90</v>
      </c>
      <c r="M124" s="3" t="n">
        <v>500</v>
      </c>
      <c r="N124" s="3" t="n">
        <v>5</v>
      </c>
      <c r="O124" s="3" t="s">
        <v>91</v>
      </c>
      <c r="P124" s="3" t="s">
        <v>92</v>
      </c>
      <c r="Q124" s="3" t="s">
        <v>35</v>
      </c>
      <c r="R124" s="3" t="s">
        <v>58</v>
      </c>
      <c r="S124" s="5" t="n">
        <v>46118</v>
      </c>
      <c r="T124" s="5" t="n">
        <v>46234</v>
      </c>
      <c r="U124" s="3" t="s">
        <v>81</v>
      </c>
      <c r="V124" s="3" t="n">
        <f aca="false">COUNTIFS(Colours!$A$2:$A$742,$A124,Colours!$D$2:$D$742,"Ordered")</f>
        <v>3</v>
      </c>
    </row>
    <row r="125" customFormat="false" ht="15" hidden="false" customHeight="false" outlineLevel="0" collapsed="false">
      <c r="A125" s="3" t="s">
        <v>355</v>
      </c>
      <c r="B125" s="3" t="s">
        <v>51</v>
      </c>
      <c r="C125" s="3" t="s">
        <v>272</v>
      </c>
      <c r="D125" s="3" t="s">
        <v>40</v>
      </c>
      <c r="E125" s="3" t="s">
        <v>41</v>
      </c>
      <c r="F125" s="3" t="s">
        <v>54</v>
      </c>
      <c r="G125" s="3" t="s">
        <v>160</v>
      </c>
      <c r="H125" s="3" t="s">
        <v>202</v>
      </c>
      <c r="I125" s="3" t="s">
        <v>96</v>
      </c>
      <c r="J125" s="4" t="n">
        <v>16.97</v>
      </c>
      <c r="K125" s="3" t="s">
        <v>31</v>
      </c>
      <c r="L125" s="3" t="s">
        <v>32</v>
      </c>
      <c r="M125" s="3" t="n">
        <v>50</v>
      </c>
      <c r="N125" s="3" t="n">
        <v>14</v>
      </c>
      <c r="O125" s="3" t="s">
        <v>46</v>
      </c>
      <c r="P125" s="3"/>
      <c r="Q125" s="3" t="s">
        <v>48</v>
      </c>
      <c r="R125" s="3" t="s">
        <v>49</v>
      </c>
      <c r="S125" s="5" t="n">
        <v>46107</v>
      </c>
      <c r="T125" s="5" t="n">
        <v>46191</v>
      </c>
      <c r="U125" s="3"/>
      <c r="V125" s="3" t="n">
        <f aca="false">COUNTIFS(Colours!$A$2:$A$742,$A125,Colours!$D$2:$D$742,"Ordered")</f>
        <v>1</v>
      </c>
    </row>
    <row r="126" customFormat="false" ht="15" hidden="false" customHeight="false" outlineLevel="0" collapsed="false">
      <c r="A126" s="3" t="s">
        <v>356</v>
      </c>
      <c r="B126" s="3" t="s">
        <v>357</v>
      </c>
      <c r="C126" s="3" t="s">
        <v>272</v>
      </c>
      <c r="D126" s="3" t="s">
        <v>62</v>
      </c>
      <c r="E126" s="3" t="s">
        <v>63</v>
      </c>
      <c r="F126" s="3" t="s">
        <v>64</v>
      </c>
      <c r="G126" s="3" t="s">
        <v>65</v>
      </c>
      <c r="H126" s="3" t="s">
        <v>358</v>
      </c>
      <c r="I126" s="3" t="s">
        <v>45</v>
      </c>
      <c r="J126" s="4" t="n">
        <v>91.76</v>
      </c>
      <c r="K126" s="3" t="s">
        <v>31</v>
      </c>
      <c r="L126" s="3" t="s">
        <v>32</v>
      </c>
      <c r="M126" s="3" t="n">
        <v>100</v>
      </c>
      <c r="N126" s="3"/>
      <c r="O126" s="3" t="s">
        <v>67</v>
      </c>
      <c r="P126" s="3" t="s">
        <v>34</v>
      </c>
      <c r="Q126" s="3" t="s">
        <v>68</v>
      </c>
      <c r="R126" s="3" t="s">
        <v>144</v>
      </c>
      <c r="S126" s="5" t="n">
        <v>46139</v>
      </c>
      <c r="T126" s="5" t="n">
        <v>46270</v>
      </c>
      <c r="U126" s="3"/>
      <c r="V126" s="3" t="n">
        <f aca="false">COUNTIFS(Colours!$A$2:$A$742,$A126,Colours!$D$2:$D$742,"Ordered")</f>
        <v>0</v>
      </c>
    </row>
    <row r="127" customFormat="false" ht="15" hidden="false" customHeight="false" outlineLevel="0" collapsed="false">
      <c r="A127" s="3" t="s">
        <v>359</v>
      </c>
      <c r="B127" s="3" t="s">
        <v>115</v>
      </c>
      <c r="C127" s="3" t="s">
        <v>360</v>
      </c>
      <c r="D127" s="3" t="s">
        <v>110</v>
      </c>
      <c r="E127" s="3" t="s">
        <v>111</v>
      </c>
      <c r="F127" s="3" t="s">
        <v>86</v>
      </c>
      <c r="G127" s="3" t="s">
        <v>127</v>
      </c>
      <c r="H127" s="3" t="s">
        <v>143</v>
      </c>
      <c r="I127" s="3" t="s">
        <v>120</v>
      </c>
      <c r="J127" s="4" t="n">
        <v>5.07</v>
      </c>
      <c r="K127" s="3" t="s">
        <v>31</v>
      </c>
      <c r="L127" s="3" t="s">
        <v>90</v>
      </c>
      <c r="M127" s="3"/>
      <c r="N127" s="3" t="n">
        <v>6</v>
      </c>
      <c r="O127" s="3" t="s">
        <v>33</v>
      </c>
      <c r="P127" s="3"/>
      <c r="Q127" s="3" t="s">
        <v>48</v>
      </c>
      <c r="R127" s="3" t="s">
        <v>49</v>
      </c>
      <c r="S127" s="5" t="n">
        <v>46202</v>
      </c>
      <c r="T127" s="5" t="n">
        <v>46207</v>
      </c>
      <c r="U127" s="3"/>
      <c r="V127" s="3" t="n">
        <f aca="false">COUNTIFS(Colours!$A$2:$A$742,$A127,Colours!$D$2:$D$742,"Ordered")</f>
        <v>4</v>
      </c>
    </row>
    <row r="128" customFormat="false" ht="15" hidden="false" customHeight="false" outlineLevel="0" collapsed="false">
      <c r="A128" s="3" t="s">
        <v>361</v>
      </c>
      <c r="B128" s="3" t="s">
        <v>362</v>
      </c>
      <c r="C128" s="3" t="s">
        <v>360</v>
      </c>
      <c r="D128" s="3" t="s">
        <v>52</v>
      </c>
      <c r="E128" s="3" t="s">
        <v>53</v>
      </c>
      <c r="F128" s="3" t="s">
        <v>64</v>
      </c>
      <c r="G128" s="3" t="s">
        <v>65</v>
      </c>
      <c r="H128" s="3" t="s">
        <v>363</v>
      </c>
      <c r="I128" s="3" t="s">
        <v>198</v>
      </c>
      <c r="J128" s="4" t="n">
        <v>82.5</v>
      </c>
      <c r="K128" s="3" t="s">
        <v>31</v>
      </c>
      <c r="L128" s="3" t="s">
        <v>32</v>
      </c>
      <c r="M128" s="3" t="n">
        <v>100</v>
      </c>
      <c r="N128" s="3" t="n">
        <v>11</v>
      </c>
      <c r="O128" s="3" t="s">
        <v>33</v>
      </c>
      <c r="P128" s="3" t="s">
        <v>34</v>
      </c>
      <c r="Q128" s="3" t="s">
        <v>48</v>
      </c>
      <c r="R128" s="3" t="s">
        <v>36</v>
      </c>
      <c r="S128" s="5" t="n">
        <v>46194</v>
      </c>
      <c r="T128" s="5" t="n">
        <v>46311</v>
      </c>
      <c r="U128" s="3"/>
      <c r="V128" s="3" t="n">
        <f aca="false">COUNTIFS(Colours!$A$2:$A$742,$A128,Colours!$D$2:$D$742,"Ordered")</f>
        <v>3</v>
      </c>
    </row>
    <row r="129" customFormat="false" ht="15" hidden="false" customHeight="false" outlineLevel="0" collapsed="false">
      <c r="A129" s="3" t="s">
        <v>364</v>
      </c>
      <c r="B129" s="3" t="s">
        <v>115</v>
      </c>
      <c r="C129" s="3" t="s">
        <v>360</v>
      </c>
      <c r="D129" s="3" t="s">
        <v>84</v>
      </c>
      <c r="E129" s="3" t="s">
        <v>85</v>
      </c>
      <c r="F129" s="3" t="s">
        <v>86</v>
      </c>
      <c r="G129" s="3" t="s">
        <v>127</v>
      </c>
      <c r="H129" s="3" t="s">
        <v>143</v>
      </c>
      <c r="I129" s="3" t="s">
        <v>123</v>
      </c>
      <c r="J129" s="4"/>
      <c r="K129" s="3" t="s">
        <v>31</v>
      </c>
      <c r="L129" s="3" t="s">
        <v>90</v>
      </c>
      <c r="M129" s="3" t="n">
        <v>300</v>
      </c>
      <c r="N129" s="3" t="n">
        <v>7</v>
      </c>
      <c r="O129" s="3" t="s">
        <v>91</v>
      </c>
      <c r="P129" s="3" t="s">
        <v>128</v>
      </c>
      <c r="Q129" s="3" t="s">
        <v>48</v>
      </c>
      <c r="R129" s="3" t="s">
        <v>36</v>
      </c>
      <c r="S129" s="5" t="n">
        <v>46174</v>
      </c>
      <c r="T129" s="5" t="n">
        <v>46229</v>
      </c>
      <c r="U129" s="3"/>
      <c r="V129" s="3" t="n">
        <f aca="false">COUNTIFS(Colours!$A$2:$A$742,$A129,Colours!$D$2:$D$742,"Ordered")</f>
        <v>2</v>
      </c>
    </row>
    <row r="130" customFormat="false" ht="15" hidden="false" customHeight="false" outlineLevel="0" collapsed="false">
      <c r="A130" s="3" t="s">
        <v>365</v>
      </c>
      <c r="B130" s="3" t="s">
        <v>196</v>
      </c>
      <c r="C130" s="3" t="s">
        <v>360</v>
      </c>
      <c r="D130" s="3" t="s">
        <v>52</v>
      </c>
      <c r="E130" s="3" t="s">
        <v>53</v>
      </c>
      <c r="F130" s="3" t="s">
        <v>64</v>
      </c>
      <c r="G130" s="3" t="s">
        <v>65</v>
      </c>
      <c r="H130" s="3" t="s">
        <v>366</v>
      </c>
      <c r="I130" s="3" t="s">
        <v>198</v>
      </c>
      <c r="J130" s="4" t="n">
        <v>49.6</v>
      </c>
      <c r="K130" s="3" t="s">
        <v>31</v>
      </c>
      <c r="L130" s="3" t="s">
        <v>32</v>
      </c>
      <c r="M130" s="3" t="n">
        <v>150</v>
      </c>
      <c r="N130" s="3"/>
      <c r="O130" s="3" t="s">
        <v>33</v>
      </c>
      <c r="P130" s="3" t="s">
        <v>152</v>
      </c>
      <c r="Q130" s="3" t="s">
        <v>48</v>
      </c>
      <c r="R130" s="3" t="s">
        <v>36</v>
      </c>
      <c r="S130" s="5" t="n">
        <v>46189</v>
      </c>
      <c r="T130" s="5" t="n">
        <v>46275</v>
      </c>
      <c r="U130" s="3"/>
      <c r="V130" s="3" t="n">
        <f aca="false">COUNTIFS(Colours!$A$2:$A$742,$A130,Colours!$D$2:$D$742,"Ordered")</f>
        <v>7</v>
      </c>
    </row>
    <row r="131" customFormat="false" ht="15" hidden="false" customHeight="false" outlineLevel="0" collapsed="false">
      <c r="A131" s="3" t="s">
        <v>367</v>
      </c>
      <c r="B131" s="3" t="s">
        <v>162</v>
      </c>
      <c r="C131" s="3" t="s">
        <v>360</v>
      </c>
      <c r="D131" s="3" t="s">
        <v>84</v>
      </c>
      <c r="E131" s="3" t="s">
        <v>85</v>
      </c>
      <c r="F131" s="3" t="s">
        <v>86</v>
      </c>
      <c r="G131" s="3" t="s">
        <v>118</v>
      </c>
      <c r="H131" s="3" t="s">
        <v>112</v>
      </c>
      <c r="I131" s="3" t="s">
        <v>89</v>
      </c>
      <c r="J131" s="4" t="n">
        <v>11</v>
      </c>
      <c r="K131" s="3" t="s">
        <v>31</v>
      </c>
      <c r="L131" s="3" t="s">
        <v>90</v>
      </c>
      <c r="M131" s="3" t="n">
        <v>200</v>
      </c>
      <c r="N131" s="3"/>
      <c r="O131" s="3" t="s">
        <v>91</v>
      </c>
      <c r="P131" s="3" t="s">
        <v>128</v>
      </c>
      <c r="Q131" s="3" t="s">
        <v>48</v>
      </c>
      <c r="R131" s="3" t="s">
        <v>144</v>
      </c>
      <c r="S131" s="5" t="n">
        <v>46193</v>
      </c>
      <c r="T131" s="5" t="n">
        <v>46255</v>
      </c>
      <c r="U131" s="3" t="s">
        <v>129</v>
      </c>
      <c r="V131" s="3" t="n">
        <f aca="false">COUNTIFS(Colours!$A$2:$A$742,$A131,Colours!$D$2:$D$742,"Ordered")</f>
        <v>2</v>
      </c>
    </row>
    <row r="132" customFormat="false" ht="15" hidden="false" customHeight="false" outlineLevel="0" collapsed="false">
      <c r="A132" s="3" t="s">
        <v>368</v>
      </c>
      <c r="B132" s="3" t="s">
        <v>51</v>
      </c>
      <c r="C132" s="3" t="s">
        <v>360</v>
      </c>
      <c r="D132" s="3" t="s">
        <v>52</v>
      </c>
      <c r="E132" s="3" t="s">
        <v>53</v>
      </c>
      <c r="F132" s="3" t="s">
        <v>54</v>
      </c>
      <c r="G132" s="3" t="s">
        <v>55</v>
      </c>
      <c r="H132" s="3" t="s">
        <v>369</v>
      </c>
      <c r="I132" s="3" t="s">
        <v>198</v>
      </c>
      <c r="J132" s="4" t="s">
        <v>124</v>
      </c>
      <c r="K132" s="3" t="s">
        <v>31</v>
      </c>
      <c r="L132" s="3" t="s">
        <v>32</v>
      </c>
      <c r="M132" s="3" t="n">
        <v>300</v>
      </c>
      <c r="N132" s="3" t="n">
        <v>3</v>
      </c>
      <c r="O132" s="3" t="s">
        <v>33</v>
      </c>
      <c r="P132" s="3" t="s">
        <v>152</v>
      </c>
      <c r="Q132" s="3" t="s">
        <v>35</v>
      </c>
      <c r="R132" s="3" t="s">
        <v>80</v>
      </c>
      <c r="S132" s="5" t="n">
        <v>46185</v>
      </c>
      <c r="T132" s="5" t="n">
        <v>46300</v>
      </c>
      <c r="U132" s="3"/>
      <c r="V132" s="3" t="n">
        <f aca="false">COUNTIFS(Colours!$A$2:$A$742,$A132,Colours!$D$2:$D$742,"Ordered")</f>
        <v>1</v>
      </c>
    </row>
    <row r="133" customFormat="false" ht="15" hidden="false" customHeight="false" outlineLevel="0" collapsed="false">
      <c r="A133" s="3" t="s">
        <v>370</v>
      </c>
      <c r="B133" s="3" t="s">
        <v>137</v>
      </c>
      <c r="C133" s="3" t="s">
        <v>360</v>
      </c>
      <c r="D133" s="3" t="s">
        <v>110</v>
      </c>
      <c r="E133" s="3" t="s">
        <v>111</v>
      </c>
      <c r="F133" s="3" t="s">
        <v>86</v>
      </c>
      <c r="G133" s="3" t="s">
        <v>118</v>
      </c>
      <c r="H133" s="3" t="s">
        <v>88</v>
      </c>
      <c r="I133" s="3" t="s">
        <v>113</v>
      </c>
      <c r="J133" s="4" t="n">
        <v>9.93</v>
      </c>
      <c r="K133" s="3" t="s">
        <v>31</v>
      </c>
      <c r="L133" s="3" t="s">
        <v>90</v>
      </c>
      <c r="M133" s="3"/>
      <c r="N133" s="3" t="n">
        <v>8</v>
      </c>
      <c r="O133" s="3" t="s">
        <v>33</v>
      </c>
      <c r="P133" s="3" t="s">
        <v>92</v>
      </c>
      <c r="Q133" s="3" t="s">
        <v>48</v>
      </c>
      <c r="R133" s="3" t="s">
        <v>80</v>
      </c>
      <c r="S133" s="5" t="n">
        <v>46182</v>
      </c>
      <c r="T133" s="5" t="n">
        <v>46229</v>
      </c>
      <c r="U133" s="3"/>
      <c r="V133" s="3" t="n">
        <f aca="false">COUNTIFS(Colours!$A$2:$A$742,$A133,Colours!$D$2:$D$742,"Ordered")</f>
        <v>2</v>
      </c>
    </row>
    <row r="134" customFormat="false" ht="15" hidden="false" customHeight="false" outlineLevel="0" collapsed="false">
      <c r="A134" s="3" t="s">
        <v>371</v>
      </c>
      <c r="B134" s="3" t="s">
        <v>357</v>
      </c>
      <c r="C134" s="3" t="s">
        <v>360</v>
      </c>
      <c r="D134" s="3" t="s">
        <v>62</v>
      </c>
      <c r="E134" s="3" t="s">
        <v>63</v>
      </c>
      <c r="F134" s="3" t="s">
        <v>64</v>
      </c>
      <c r="G134" s="3" t="s">
        <v>65</v>
      </c>
      <c r="H134" s="3" t="s">
        <v>372</v>
      </c>
      <c r="I134" s="3" t="s">
        <v>198</v>
      </c>
      <c r="J134" s="4" t="s">
        <v>222</v>
      </c>
      <c r="K134" s="3" t="s">
        <v>31</v>
      </c>
      <c r="L134" s="3" t="s">
        <v>32</v>
      </c>
      <c r="M134" s="3" t="n">
        <v>100</v>
      </c>
      <c r="N134" s="3" t="s">
        <v>222</v>
      </c>
      <c r="O134" s="3"/>
      <c r="P134" s="3" t="s">
        <v>152</v>
      </c>
      <c r="Q134" s="3" t="s">
        <v>68</v>
      </c>
      <c r="R134" s="3" t="s">
        <v>36</v>
      </c>
      <c r="S134" s="5" t="n">
        <v>46207</v>
      </c>
      <c r="T134" s="5" t="n">
        <v>46311</v>
      </c>
      <c r="U134" s="3"/>
      <c r="V134" s="3" t="n">
        <f aca="false">COUNTIFS(Colours!$A$2:$A$742,$A134,Colours!$D$2:$D$742,"Ordered")</f>
        <v>4</v>
      </c>
    </row>
    <row r="135" customFormat="false" ht="15" hidden="false" customHeight="false" outlineLevel="0" collapsed="false">
      <c r="A135" s="3" t="s">
        <v>373</v>
      </c>
      <c r="B135" s="3" t="s">
        <v>109</v>
      </c>
      <c r="C135" s="3" t="s">
        <v>360</v>
      </c>
      <c r="D135" s="3" t="s">
        <v>116</v>
      </c>
      <c r="E135" s="3" t="s">
        <v>117</v>
      </c>
      <c r="F135" s="3" t="s">
        <v>86</v>
      </c>
      <c r="G135" s="3" t="s">
        <v>118</v>
      </c>
      <c r="H135" s="3" t="s">
        <v>286</v>
      </c>
      <c r="I135" s="3" t="s">
        <v>89</v>
      </c>
      <c r="J135" s="4" t="n">
        <v>13.86</v>
      </c>
      <c r="K135" s="3" t="s">
        <v>31</v>
      </c>
      <c r="L135" s="3" t="s">
        <v>90</v>
      </c>
      <c r="M135" s="3"/>
      <c r="N135" s="3"/>
      <c r="O135" s="3" t="s">
        <v>91</v>
      </c>
      <c r="P135" s="3"/>
      <c r="Q135" s="3" t="s">
        <v>48</v>
      </c>
      <c r="R135" s="3" t="s">
        <v>58</v>
      </c>
      <c r="S135" s="5" t="n">
        <v>46221</v>
      </c>
      <c r="T135" s="5" t="n">
        <v>46311</v>
      </c>
      <c r="U135" s="3"/>
      <c r="V135" s="3" t="n">
        <f aca="false">COUNTIFS(Colours!$A$2:$A$742,$A135,Colours!$D$2:$D$742,"Ordered")</f>
        <v>2</v>
      </c>
    </row>
    <row r="136" customFormat="false" ht="15" hidden="false" customHeight="false" outlineLevel="0" collapsed="false">
      <c r="A136" s="3" t="s">
        <v>374</v>
      </c>
      <c r="B136" s="3" t="s">
        <v>105</v>
      </c>
      <c r="C136" s="3" t="s">
        <v>360</v>
      </c>
      <c r="D136" s="3" t="s">
        <v>71</v>
      </c>
      <c r="E136" s="3" t="s">
        <v>72</v>
      </c>
      <c r="F136" s="3" t="s">
        <v>73</v>
      </c>
      <c r="G136" s="3" t="s">
        <v>106</v>
      </c>
      <c r="H136" s="3" t="s">
        <v>375</v>
      </c>
      <c r="I136" s="3" t="s">
        <v>45</v>
      </c>
      <c r="J136" s="4" t="s">
        <v>222</v>
      </c>
      <c r="K136" s="3" t="s">
        <v>31</v>
      </c>
      <c r="L136" s="3" t="s">
        <v>32</v>
      </c>
      <c r="M136" s="3" t="n">
        <v>20</v>
      </c>
      <c r="N136" s="3" t="s">
        <v>124</v>
      </c>
      <c r="O136" s="3" t="s">
        <v>33</v>
      </c>
      <c r="P136" s="3"/>
      <c r="Q136" s="3" t="s">
        <v>35</v>
      </c>
      <c r="R136" s="3" t="s">
        <v>80</v>
      </c>
      <c r="S136" s="5" t="n">
        <v>46201</v>
      </c>
      <c r="T136" s="5" t="n">
        <v>46311</v>
      </c>
      <c r="U136" s="3" t="s">
        <v>158</v>
      </c>
      <c r="V136" s="3" t="n">
        <f aca="false">COUNTIFS(Colours!$A$2:$A$742,$A136,Colours!$D$2:$D$742,"Ordered")</f>
        <v>4</v>
      </c>
    </row>
    <row r="137" customFormat="false" ht="15" hidden="false" customHeight="false" outlineLevel="0" collapsed="false">
      <c r="A137" s="3" t="s">
        <v>376</v>
      </c>
      <c r="B137" s="3" t="s">
        <v>217</v>
      </c>
      <c r="C137" s="3" t="s">
        <v>360</v>
      </c>
      <c r="D137" s="3" t="s">
        <v>40</v>
      </c>
      <c r="E137" s="3" t="s">
        <v>41</v>
      </c>
      <c r="F137" s="3" t="s">
        <v>42</v>
      </c>
      <c r="G137" s="3" t="s">
        <v>261</v>
      </c>
      <c r="H137" s="3" t="s">
        <v>197</v>
      </c>
      <c r="I137" s="3" t="s">
        <v>30</v>
      </c>
      <c r="J137" s="4"/>
      <c r="K137" s="3" t="s">
        <v>31</v>
      </c>
      <c r="L137" s="3" t="s">
        <v>32</v>
      </c>
      <c r="M137" s="3" t="s">
        <v>222</v>
      </c>
      <c r="N137" s="3" t="n">
        <v>5</v>
      </c>
      <c r="O137" s="3" t="s">
        <v>46</v>
      </c>
      <c r="P137" s="3"/>
      <c r="Q137" s="3" t="s">
        <v>48</v>
      </c>
      <c r="R137" s="3" t="s">
        <v>58</v>
      </c>
      <c r="S137" s="5" t="n">
        <v>46208</v>
      </c>
      <c r="T137" s="5" t="n">
        <v>46243</v>
      </c>
      <c r="U137" s="3"/>
      <c r="V137" s="3" t="n">
        <f aca="false">COUNTIFS(Colours!$A$2:$A$742,$A137,Colours!$D$2:$D$742,"Ordered")</f>
        <v>2</v>
      </c>
    </row>
    <row r="138" customFormat="false" ht="15" hidden="false" customHeight="false" outlineLevel="0" collapsed="false">
      <c r="A138" s="3" t="s">
        <v>377</v>
      </c>
      <c r="B138" s="3" t="s">
        <v>70</v>
      </c>
      <c r="C138" s="3" t="s">
        <v>360</v>
      </c>
      <c r="D138" s="3" t="s">
        <v>71</v>
      </c>
      <c r="E138" s="3" t="s">
        <v>72</v>
      </c>
      <c r="F138" s="3" t="s">
        <v>73</v>
      </c>
      <c r="G138" s="3"/>
      <c r="H138" s="3"/>
      <c r="I138" s="3" t="s">
        <v>45</v>
      </c>
      <c r="J138" s="4"/>
      <c r="K138" s="3" t="s">
        <v>31</v>
      </c>
      <c r="L138" s="3" t="s">
        <v>32</v>
      </c>
      <c r="M138" s="3" t="n">
        <v>100</v>
      </c>
      <c r="N138" s="3"/>
      <c r="O138" s="3" t="s">
        <v>33</v>
      </c>
      <c r="P138" s="3" t="s">
        <v>34</v>
      </c>
      <c r="Q138" s="3" t="s">
        <v>68</v>
      </c>
      <c r="R138" s="3" t="s">
        <v>49</v>
      </c>
      <c r="S138" s="5" t="n">
        <v>46224</v>
      </c>
      <c r="T138" s="5" t="n">
        <v>46311</v>
      </c>
      <c r="U138" s="3"/>
      <c r="V138" s="3" t="n">
        <f aca="false">COUNTIFS(Colours!$A$2:$A$742,$A138,Colours!$D$2:$D$742,"Ordered")</f>
        <v>1</v>
      </c>
    </row>
    <row r="139" customFormat="false" ht="15" hidden="false" customHeight="false" outlineLevel="0" collapsed="false">
      <c r="A139" s="3" t="s">
        <v>378</v>
      </c>
      <c r="B139" s="3" t="s">
        <v>239</v>
      </c>
      <c r="C139" s="3" t="s">
        <v>360</v>
      </c>
      <c r="D139" s="3" t="s">
        <v>40</v>
      </c>
      <c r="E139" s="3" t="s">
        <v>41</v>
      </c>
      <c r="F139" s="3" t="s">
        <v>42</v>
      </c>
      <c r="G139" s="3"/>
      <c r="H139" s="3" t="s">
        <v>379</v>
      </c>
      <c r="I139" s="3" t="s">
        <v>45</v>
      </c>
      <c r="J139" s="4" t="n">
        <v>16.09</v>
      </c>
      <c r="K139" s="3" t="s">
        <v>31</v>
      </c>
      <c r="L139" s="3" t="s">
        <v>32</v>
      </c>
      <c r="M139" s="3" t="n">
        <v>50</v>
      </c>
      <c r="N139" s="3"/>
      <c r="O139" s="3" t="s">
        <v>46</v>
      </c>
      <c r="P139" s="3"/>
      <c r="Q139" s="3" t="s">
        <v>68</v>
      </c>
      <c r="R139" s="3" t="s">
        <v>80</v>
      </c>
      <c r="S139" s="5" t="n">
        <v>46181</v>
      </c>
      <c r="T139" s="5" t="n">
        <v>46253</v>
      </c>
      <c r="U139" s="3"/>
      <c r="V139" s="3" t="n">
        <f aca="false">COUNTIFS(Colours!$A$2:$A$742,$A139,Colours!$D$2:$D$742,"Ordered")</f>
        <v>1</v>
      </c>
    </row>
    <row r="140" customFormat="false" ht="15" hidden="false" customHeight="false" outlineLevel="0" collapsed="false">
      <c r="A140" s="3" t="s">
        <v>380</v>
      </c>
      <c r="B140" s="3" t="s">
        <v>83</v>
      </c>
      <c r="C140" s="3" t="s">
        <v>360</v>
      </c>
      <c r="D140" s="3" t="s">
        <v>116</v>
      </c>
      <c r="E140" s="3" t="s">
        <v>117</v>
      </c>
      <c r="F140" s="3" t="s">
        <v>86</v>
      </c>
      <c r="G140" s="3" t="s">
        <v>127</v>
      </c>
      <c r="H140" s="3"/>
      <c r="I140" s="3" t="s">
        <v>89</v>
      </c>
      <c r="J140" s="4" t="n">
        <v>9.87</v>
      </c>
      <c r="K140" s="3" t="s">
        <v>31</v>
      </c>
      <c r="L140" s="3" t="s">
        <v>90</v>
      </c>
      <c r="M140" s="3" t="s">
        <v>222</v>
      </c>
      <c r="N140" s="3"/>
      <c r="O140" s="3" t="s">
        <v>91</v>
      </c>
      <c r="P140" s="3" t="s">
        <v>128</v>
      </c>
      <c r="Q140" s="3" t="s">
        <v>35</v>
      </c>
      <c r="R140" s="3" t="s">
        <v>58</v>
      </c>
      <c r="S140" s="5" t="n">
        <v>46230</v>
      </c>
      <c r="T140" s="5" t="n">
        <v>46311</v>
      </c>
      <c r="U140" s="3"/>
      <c r="V140" s="3" t="n">
        <f aca="false">COUNTIFS(Colours!$A$2:$A$742,$A140,Colours!$D$2:$D$742,"Ordered")</f>
        <v>4</v>
      </c>
    </row>
    <row r="141" customFormat="false" ht="15" hidden="false" customHeight="false" outlineLevel="0" collapsed="false">
      <c r="A141" s="3" t="s">
        <v>381</v>
      </c>
      <c r="B141" s="3" t="s">
        <v>189</v>
      </c>
      <c r="C141" s="3" t="s">
        <v>360</v>
      </c>
      <c r="D141" s="3" t="s">
        <v>25</v>
      </c>
      <c r="E141" s="3" t="s">
        <v>26</v>
      </c>
      <c r="F141" s="3" t="s">
        <v>99</v>
      </c>
      <c r="G141" s="3" t="s">
        <v>175</v>
      </c>
      <c r="H141" s="3" t="s">
        <v>382</v>
      </c>
      <c r="I141" s="3" t="s">
        <v>151</v>
      </c>
      <c r="J141" s="4"/>
      <c r="K141" s="3" t="s">
        <v>31</v>
      </c>
      <c r="L141" s="3" t="s">
        <v>32</v>
      </c>
      <c r="M141" s="3" t="n">
        <v>50</v>
      </c>
      <c r="N141" s="3" t="n">
        <v>5</v>
      </c>
      <c r="O141" s="3" t="s">
        <v>33</v>
      </c>
      <c r="P141" s="3"/>
      <c r="Q141" s="3" t="s">
        <v>48</v>
      </c>
      <c r="R141" s="3" t="s">
        <v>49</v>
      </c>
      <c r="S141" s="5" t="n">
        <v>46189</v>
      </c>
      <c r="T141" s="5" t="n">
        <v>46311</v>
      </c>
      <c r="U141" s="3"/>
      <c r="V141" s="3" t="n">
        <f aca="false">COUNTIFS(Colours!$A$2:$A$742,$A141,Colours!$D$2:$D$742,"Ordered")</f>
        <v>4</v>
      </c>
    </row>
    <row r="142" customFormat="false" ht="15" hidden="false" customHeight="false" outlineLevel="0" collapsed="false">
      <c r="A142" s="3" t="s">
        <v>383</v>
      </c>
      <c r="B142" s="3" t="s">
        <v>51</v>
      </c>
      <c r="C142" s="3" t="s">
        <v>360</v>
      </c>
      <c r="D142" s="3" t="s">
        <v>52</v>
      </c>
      <c r="E142" s="3" t="s">
        <v>53</v>
      </c>
      <c r="F142" s="3" t="s">
        <v>54</v>
      </c>
      <c r="G142" s="3"/>
      <c r="H142" s="3" t="s">
        <v>384</v>
      </c>
      <c r="I142" s="3"/>
      <c r="J142" s="4" t="n">
        <v>36.66</v>
      </c>
      <c r="K142" s="3" t="s">
        <v>31</v>
      </c>
      <c r="L142" s="3" t="s">
        <v>32</v>
      </c>
      <c r="M142" s="3" t="n">
        <v>150</v>
      </c>
      <c r="N142" s="3"/>
      <c r="O142" s="3" t="s">
        <v>33</v>
      </c>
      <c r="P142" s="3"/>
      <c r="Q142" s="3" t="s">
        <v>48</v>
      </c>
      <c r="R142" s="3" t="s">
        <v>80</v>
      </c>
      <c r="S142" s="5" t="n">
        <v>46188</v>
      </c>
      <c r="T142" s="5" t="n">
        <v>46200</v>
      </c>
      <c r="U142" s="3"/>
      <c r="V142" s="3" t="n">
        <f aca="false">COUNTIFS(Colours!$A$2:$A$742,$A142,Colours!$D$2:$D$742,"Ordered")</f>
        <v>2</v>
      </c>
    </row>
    <row r="143" customFormat="false" ht="15" hidden="false" customHeight="false" outlineLevel="0" collapsed="false">
      <c r="A143" s="3" t="s">
        <v>385</v>
      </c>
      <c r="B143" s="3" t="s">
        <v>61</v>
      </c>
      <c r="C143" s="3" t="s">
        <v>360</v>
      </c>
      <c r="D143" s="3" t="s">
        <v>62</v>
      </c>
      <c r="E143" s="3" t="s">
        <v>63</v>
      </c>
      <c r="F143" s="3" t="s">
        <v>64</v>
      </c>
      <c r="G143" s="3" t="s">
        <v>185</v>
      </c>
      <c r="H143" s="3" t="s">
        <v>386</v>
      </c>
      <c r="I143" s="3" t="s">
        <v>198</v>
      </c>
      <c r="J143" s="4" t="n">
        <v>78.85</v>
      </c>
      <c r="K143" s="3" t="s">
        <v>31</v>
      </c>
      <c r="L143" s="3" t="s">
        <v>32</v>
      </c>
      <c r="M143" s="3" t="n">
        <v>300</v>
      </c>
      <c r="N143" s="3" t="n">
        <v>14</v>
      </c>
      <c r="O143" s="3" t="s">
        <v>67</v>
      </c>
      <c r="P143" s="3" t="s">
        <v>34</v>
      </c>
      <c r="Q143" s="3" t="s">
        <v>48</v>
      </c>
      <c r="R143" s="3" t="s">
        <v>80</v>
      </c>
      <c r="S143" s="5" t="n">
        <v>46226</v>
      </c>
      <c r="T143" s="5" t="n">
        <v>46244</v>
      </c>
      <c r="U143" s="3"/>
      <c r="V143" s="3" t="n">
        <f aca="false">COUNTIFS(Colours!$A$2:$A$742,$A143,Colours!$D$2:$D$742,"Ordered")</f>
        <v>1</v>
      </c>
    </row>
    <row r="144" customFormat="false" ht="15" hidden="false" customHeight="false" outlineLevel="0" collapsed="false">
      <c r="A144" s="3" t="s">
        <v>387</v>
      </c>
      <c r="B144" s="3" t="s">
        <v>357</v>
      </c>
      <c r="C144" s="3" t="s">
        <v>360</v>
      </c>
      <c r="D144" s="3" t="s">
        <v>52</v>
      </c>
      <c r="E144" s="3" t="s">
        <v>53</v>
      </c>
      <c r="F144" s="3" t="s">
        <v>64</v>
      </c>
      <c r="G144" s="3" t="s">
        <v>185</v>
      </c>
      <c r="H144" s="3" t="s">
        <v>388</v>
      </c>
      <c r="I144" s="3"/>
      <c r="J144" s="4" t="n">
        <v>64.69</v>
      </c>
      <c r="K144" s="3" t="s">
        <v>31</v>
      </c>
      <c r="L144" s="3" t="s">
        <v>32</v>
      </c>
      <c r="M144" s="3" t="n">
        <v>100</v>
      </c>
      <c r="N144" s="3" t="n">
        <v>11</v>
      </c>
      <c r="O144" s="3" t="s">
        <v>33</v>
      </c>
      <c r="P144" s="3" t="s">
        <v>34</v>
      </c>
      <c r="Q144" s="3" t="s">
        <v>48</v>
      </c>
      <c r="R144" s="3" t="s">
        <v>58</v>
      </c>
      <c r="S144" s="5" t="n">
        <v>46175</v>
      </c>
      <c r="T144" s="5" t="n">
        <v>46302</v>
      </c>
      <c r="U144" s="3"/>
      <c r="V144" s="3" t="n">
        <f aca="false">COUNTIFS(Colours!$A$2:$A$742,$A144,Colours!$D$2:$D$742,"Ordered")</f>
        <v>4</v>
      </c>
    </row>
    <row r="145" customFormat="false" ht="15" hidden="false" customHeight="false" outlineLevel="0" collapsed="false">
      <c r="A145" s="3" t="s">
        <v>389</v>
      </c>
      <c r="B145" s="3" t="s">
        <v>168</v>
      </c>
      <c r="C145" s="3" t="s">
        <v>360</v>
      </c>
      <c r="D145" s="3" t="s">
        <v>52</v>
      </c>
      <c r="E145" s="3" t="s">
        <v>53</v>
      </c>
      <c r="F145" s="3" t="s">
        <v>54</v>
      </c>
      <c r="G145" s="3" t="s">
        <v>55</v>
      </c>
      <c r="H145" s="3" t="s">
        <v>390</v>
      </c>
      <c r="I145" s="3" t="s">
        <v>198</v>
      </c>
      <c r="J145" s="4" t="n">
        <v>14.77</v>
      </c>
      <c r="K145" s="3" t="s">
        <v>31</v>
      </c>
      <c r="L145" s="3" t="s">
        <v>32</v>
      </c>
      <c r="M145" s="3" t="n">
        <v>50</v>
      </c>
      <c r="N145" s="3"/>
      <c r="O145" s="3" t="s">
        <v>33</v>
      </c>
      <c r="P145" s="3" t="s">
        <v>34</v>
      </c>
      <c r="Q145" s="3" t="s">
        <v>68</v>
      </c>
      <c r="R145" s="3" t="s">
        <v>36</v>
      </c>
      <c r="S145" s="5" t="n">
        <v>46220</v>
      </c>
      <c r="T145" s="5" t="n">
        <v>46292</v>
      </c>
      <c r="U145" s="3"/>
      <c r="V145" s="3" t="n">
        <f aca="false">COUNTIFS(Colours!$A$2:$A$742,$A145,Colours!$D$2:$D$742,"Ordered")</f>
        <v>1</v>
      </c>
    </row>
    <row r="146" customFormat="false" ht="15" hidden="false" customHeight="false" outlineLevel="0" collapsed="false">
      <c r="A146" s="3" t="s">
        <v>391</v>
      </c>
      <c r="B146" s="3" t="s">
        <v>83</v>
      </c>
      <c r="C146" s="3" t="s">
        <v>360</v>
      </c>
      <c r="D146" s="3" t="s">
        <v>84</v>
      </c>
      <c r="E146" s="3" t="s">
        <v>85</v>
      </c>
      <c r="F146" s="3" t="s">
        <v>86</v>
      </c>
      <c r="G146" s="3" t="s">
        <v>127</v>
      </c>
      <c r="H146" s="3" t="s">
        <v>237</v>
      </c>
      <c r="I146" s="3"/>
      <c r="J146" s="4" t="n">
        <v>12.37</v>
      </c>
      <c r="K146" s="3" t="s">
        <v>31</v>
      </c>
      <c r="L146" s="3" t="s">
        <v>90</v>
      </c>
      <c r="M146" s="3" t="n">
        <v>500</v>
      </c>
      <c r="N146" s="3" t="n">
        <v>5</v>
      </c>
      <c r="O146" s="3" t="s">
        <v>91</v>
      </c>
      <c r="P146" s="3" t="s">
        <v>92</v>
      </c>
      <c r="Q146" s="3" t="s">
        <v>48</v>
      </c>
      <c r="R146" s="3" t="s">
        <v>58</v>
      </c>
      <c r="S146" s="5" t="n">
        <v>46174</v>
      </c>
      <c r="T146" s="5" t="n">
        <v>46302</v>
      </c>
      <c r="U146" s="3"/>
      <c r="V146" s="3" t="n">
        <f aca="false">COUNTIFS(Colours!$A$2:$A$742,$A146,Colours!$D$2:$D$742,"Ordered")</f>
        <v>4</v>
      </c>
    </row>
    <row r="147" customFormat="false" ht="15" hidden="false" customHeight="false" outlineLevel="0" collapsed="false">
      <c r="A147" s="3" t="s">
        <v>392</v>
      </c>
      <c r="B147" s="3" t="s">
        <v>252</v>
      </c>
      <c r="C147" s="3" t="s">
        <v>360</v>
      </c>
      <c r="D147" s="3" t="s">
        <v>25</v>
      </c>
      <c r="E147" s="3" t="s">
        <v>26</v>
      </c>
      <c r="F147" s="3" t="s">
        <v>27</v>
      </c>
      <c r="G147" s="3" t="s">
        <v>140</v>
      </c>
      <c r="H147" s="3" t="s">
        <v>393</v>
      </c>
      <c r="I147" s="3" t="s">
        <v>134</v>
      </c>
      <c r="J147" s="4" t="n">
        <v>32.67</v>
      </c>
      <c r="K147" s="3" t="s">
        <v>31</v>
      </c>
      <c r="L147" s="3" t="s">
        <v>32</v>
      </c>
      <c r="M147" s="3" t="n">
        <v>100</v>
      </c>
      <c r="N147" s="3" t="n">
        <v>5</v>
      </c>
      <c r="O147" s="3" t="s">
        <v>33</v>
      </c>
      <c r="P147" s="3" t="s">
        <v>103</v>
      </c>
      <c r="Q147" s="3" t="s">
        <v>48</v>
      </c>
      <c r="R147" s="3" t="s">
        <v>144</v>
      </c>
      <c r="S147" s="5" t="n">
        <v>46215</v>
      </c>
      <c r="T147" s="5" t="n">
        <v>46304</v>
      </c>
      <c r="U147" s="3"/>
      <c r="V147" s="3" t="n">
        <f aca="false">COUNTIFS(Colours!$A$2:$A$742,$A147,Colours!$D$2:$D$742,"Ordered")</f>
        <v>1</v>
      </c>
    </row>
    <row r="148" customFormat="false" ht="15" hidden="false" customHeight="false" outlineLevel="0" collapsed="false">
      <c r="A148" s="3" t="s">
        <v>394</v>
      </c>
      <c r="B148" s="3" t="s">
        <v>189</v>
      </c>
      <c r="C148" s="3" t="s">
        <v>360</v>
      </c>
      <c r="D148" s="3" t="s">
        <v>25</v>
      </c>
      <c r="E148" s="3" t="s">
        <v>26</v>
      </c>
      <c r="F148" s="3" t="s">
        <v>99</v>
      </c>
      <c r="G148" s="3" t="s">
        <v>160</v>
      </c>
      <c r="H148" s="3" t="s">
        <v>395</v>
      </c>
      <c r="I148" s="3" t="s">
        <v>206</v>
      </c>
      <c r="J148" s="4" t="n">
        <v>50.21</v>
      </c>
      <c r="K148" s="3" t="s">
        <v>31</v>
      </c>
      <c r="L148" s="3" t="s">
        <v>32</v>
      </c>
      <c r="M148" s="3" t="n">
        <v>300</v>
      </c>
      <c r="N148" s="3"/>
      <c r="O148" s="3" t="s">
        <v>33</v>
      </c>
      <c r="P148" s="3" t="s">
        <v>103</v>
      </c>
      <c r="Q148" s="3" t="s">
        <v>68</v>
      </c>
      <c r="R148" s="3" t="s">
        <v>80</v>
      </c>
      <c r="S148" s="5" t="n">
        <v>46231</v>
      </c>
      <c r="T148" s="5" t="n">
        <v>46311</v>
      </c>
      <c r="U148" s="3"/>
      <c r="V148" s="3" t="n">
        <f aca="false">COUNTIFS(Colours!$A$2:$A$742,$A148,Colours!$D$2:$D$742,"Ordered")</f>
        <v>5</v>
      </c>
    </row>
    <row r="149" customFormat="false" ht="15" hidden="false" customHeight="false" outlineLevel="0" collapsed="false">
      <c r="A149" s="3" t="s">
        <v>396</v>
      </c>
      <c r="B149" s="3" t="s">
        <v>242</v>
      </c>
      <c r="C149" s="3" t="s">
        <v>360</v>
      </c>
      <c r="D149" s="3" t="s">
        <v>71</v>
      </c>
      <c r="E149" s="3" t="s">
        <v>72</v>
      </c>
      <c r="F149" s="3" t="s">
        <v>73</v>
      </c>
      <c r="G149" s="3"/>
      <c r="H149" s="3" t="s">
        <v>397</v>
      </c>
      <c r="I149" s="3" t="s">
        <v>30</v>
      </c>
      <c r="J149" s="4" t="n">
        <v>21.51</v>
      </c>
      <c r="K149" s="3" t="s">
        <v>31</v>
      </c>
      <c r="L149" s="3" t="s">
        <v>32</v>
      </c>
      <c r="M149" s="3" t="s">
        <v>124</v>
      </c>
      <c r="N149" s="3" t="n">
        <v>6</v>
      </c>
      <c r="O149" s="3" t="s">
        <v>33</v>
      </c>
      <c r="P149" s="3" t="s">
        <v>34</v>
      </c>
      <c r="Q149" s="3" t="s">
        <v>48</v>
      </c>
      <c r="R149" s="3" t="s">
        <v>36</v>
      </c>
      <c r="S149" s="5" t="n">
        <v>46209</v>
      </c>
      <c r="T149" s="5" t="n">
        <v>46289</v>
      </c>
      <c r="U149" s="3"/>
      <c r="V149" s="3" t="n">
        <f aca="false">COUNTIFS(Colours!$A$2:$A$742,$A149,Colours!$D$2:$D$742,"Ordered")</f>
        <v>3</v>
      </c>
    </row>
    <row r="150" customFormat="false" ht="15" hidden="false" customHeight="false" outlineLevel="0" collapsed="false">
      <c r="A150" s="3" t="s">
        <v>398</v>
      </c>
      <c r="B150" s="3" t="s">
        <v>39</v>
      </c>
      <c r="C150" s="3" t="s">
        <v>360</v>
      </c>
      <c r="D150" s="3" t="s">
        <v>40</v>
      </c>
      <c r="E150" s="3" t="s">
        <v>41</v>
      </c>
      <c r="F150" s="3" t="s">
        <v>42</v>
      </c>
      <c r="G150" s="3" t="s">
        <v>43</v>
      </c>
      <c r="H150" s="3" t="s">
        <v>399</v>
      </c>
      <c r="I150" s="3" t="s">
        <v>30</v>
      </c>
      <c r="J150" s="4"/>
      <c r="K150" s="3" t="s">
        <v>31</v>
      </c>
      <c r="L150" s="3" t="s">
        <v>32</v>
      </c>
      <c r="M150" s="3" t="s">
        <v>124</v>
      </c>
      <c r="N150" s="3" t="s">
        <v>222</v>
      </c>
      <c r="O150" s="3"/>
      <c r="P150" s="3"/>
      <c r="Q150" s="3" t="s">
        <v>35</v>
      </c>
      <c r="R150" s="3" t="s">
        <v>58</v>
      </c>
      <c r="S150" s="5" t="n">
        <v>46176</v>
      </c>
      <c r="T150" s="5" t="n">
        <v>46297</v>
      </c>
      <c r="U150" s="3"/>
      <c r="V150" s="3" t="n">
        <f aca="false">COUNTIFS(Colours!$A$2:$A$742,$A150,Colours!$D$2:$D$742,"Ordered")</f>
        <v>3</v>
      </c>
    </row>
    <row r="151" customFormat="false" ht="15" hidden="false" customHeight="false" outlineLevel="0" collapsed="false">
      <c r="A151" s="3" t="s">
        <v>400</v>
      </c>
      <c r="B151" s="3" t="s">
        <v>98</v>
      </c>
      <c r="C151" s="3" t="s">
        <v>360</v>
      </c>
      <c r="D151" s="3" t="s">
        <v>155</v>
      </c>
      <c r="E151" s="3" t="s">
        <v>156</v>
      </c>
      <c r="F151" s="3" t="s">
        <v>99</v>
      </c>
      <c r="G151" s="3" t="s">
        <v>149</v>
      </c>
      <c r="H151" s="3" t="s">
        <v>401</v>
      </c>
      <c r="I151" s="3" t="s">
        <v>151</v>
      </c>
      <c r="J151" s="4" t="n">
        <v>72.72</v>
      </c>
      <c r="K151" s="3" t="s">
        <v>31</v>
      </c>
      <c r="L151" s="3" t="s">
        <v>32</v>
      </c>
      <c r="M151" s="3" t="n">
        <v>300</v>
      </c>
      <c r="N151" s="3"/>
      <c r="O151" s="3" t="s">
        <v>91</v>
      </c>
      <c r="P151" s="3" t="s">
        <v>34</v>
      </c>
      <c r="Q151" s="3" t="s">
        <v>48</v>
      </c>
      <c r="R151" s="3" t="s">
        <v>49</v>
      </c>
      <c r="S151" s="5" t="n">
        <v>46205</v>
      </c>
      <c r="T151" s="5" t="n">
        <v>46311</v>
      </c>
      <c r="U151" s="3"/>
      <c r="V151" s="3" t="n">
        <f aca="false">COUNTIFS(Colours!$A$2:$A$742,$A151,Colours!$D$2:$D$742,"Ordered")</f>
        <v>5</v>
      </c>
    </row>
    <row r="152" customFormat="false" ht="15" hidden="false" customHeight="false" outlineLevel="0" collapsed="false">
      <c r="A152" s="3" t="s">
        <v>402</v>
      </c>
      <c r="B152" s="3" t="s">
        <v>70</v>
      </c>
      <c r="C152" s="3" t="s">
        <v>360</v>
      </c>
      <c r="D152" s="3" t="s">
        <v>71</v>
      </c>
      <c r="E152" s="3" t="s">
        <v>72</v>
      </c>
      <c r="F152" s="3" t="s">
        <v>73</v>
      </c>
      <c r="G152" s="3" t="s">
        <v>106</v>
      </c>
      <c r="H152" s="3"/>
      <c r="I152" s="3" t="s">
        <v>45</v>
      </c>
      <c r="J152" s="4" t="n">
        <v>29.61</v>
      </c>
      <c r="K152" s="3" t="s">
        <v>31</v>
      </c>
      <c r="L152" s="3" t="s">
        <v>32</v>
      </c>
      <c r="M152" s="3"/>
      <c r="N152" s="3" t="n">
        <v>12</v>
      </c>
      <c r="O152" s="3" t="s">
        <v>33</v>
      </c>
      <c r="P152" s="3"/>
      <c r="Q152" s="3" t="s">
        <v>48</v>
      </c>
      <c r="R152" s="3" t="s">
        <v>49</v>
      </c>
      <c r="S152" s="5" t="n">
        <v>46196</v>
      </c>
      <c r="T152" s="5" t="n">
        <v>46216</v>
      </c>
      <c r="U152" s="3"/>
      <c r="V152" s="3" t="n">
        <f aca="false">COUNTIFS(Colours!$A$2:$A$742,$A152,Colours!$D$2:$D$742,"Ordered")</f>
        <v>0</v>
      </c>
    </row>
    <row r="153" customFormat="false" ht="15" hidden="false" customHeight="false" outlineLevel="0" collapsed="false">
      <c r="A153" s="3" t="s">
        <v>403</v>
      </c>
      <c r="B153" s="3" t="s">
        <v>212</v>
      </c>
      <c r="C153" s="3" t="s">
        <v>360</v>
      </c>
      <c r="D153" s="3" t="s">
        <v>52</v>
      </c>
      <c r="E153" s="3" t="s">
        <v>53</v>
      </c>
      <c r="F153" s="3" t="s">
        <v>54</v>
      </c>
      <c r="G153" s="3" t="s">
        <v>78</v>
      </c>
      <c r="H153" s="3" t="s">
        <v>404</v>
      </c>
      <c r="I153" s="3" t="s">
        <v>30</v>
      </c>
      <c r="J153" s="4" t="n">
        <v>26.47</v>
      </c>
      <c r="K153" s="3" t="s">
        <v>31</v>
      </c>
      <c r="L153" s="3" t="s">
        <v>32</v>
      </c>
      <c r="M153" s="3" t="n">
        <v>150</v>
      </c>
      <c r="N153" s="3" t="n">
        <v>7</v>
      </c>
      <c r="O153" s="3" t="s">
        <v>33</v>
      </c>
      <c r="P153" s="3"/>
      <c r="Q153" s="3" t="s">
        <v>48</v>
      </c>
      <c r="R153" s="3" t="s">
        <v>36</v>
      </c>
      <c r="S153" s="5" t="n">
        <v>46186</v>
      </c>
      <c r="T153" s="5" t="n">
        <v>46212</v>
      </c>
      <c r="U153" s="3"/>
      <c r="V153" s="3" t="n">
        <f aca="false">COUNTIFS(Colours!$A$2:$A$742,$A153,Colours!$D$2:$D$742,"Ordered")</f>
        <v>4</v>
      </c>
    </row>
    <row r="154" customFormat="false" ht="15" hidden="false" customHeight="false" outlineLevel="0" collapsed="false">
      <c r="A154" s="3" t="s">
        <v>405</v>
      </c>
      <c r="B154" s="3" t="s">
        <v>406</v>
      </c>
      <c r="C154" s="3" t="s">
        <v>360</v>
      </c>
      <c r="D154" s="3" t="s">
        <v>62</v>
      </c>
      <c r="E154" s="3" t="s">
        <v>63</v>
      </c>
      <c r="F154" s="3" t="s">
        <v>42</v>
      </c>
      <c r="G154" s="3" t="s">
        <v>261</v>
      </c>
      <c r="H154" s="3" t="s">
        <v>407</v>
      </c>
      <c r="I154" s="3" t="s">
        <v>198</v>
      </c>
      <c r="J154" s="4"/>
      <c r="K154" s="3" t="s">
        <v>31</v>
      </c>
      <c r="L154" s="3" t="s">
        <v>32</v>
      </c>
      <c r="M154" s="3" t="n">
        <v>20</v>
      </c>
      <c r="N154" s="3" t="n">
        <v>7</v>
      </c>
      <c r="O154" s="3" t="s">
        <v>67</v>
      </c>
      <c r="P154" s="3" t="s">
        <v>298</v>
      </c>
      <c r="Q154" s="3" t="s">
        <v>35</v>
      </c>
      <c r="R154" s="3" t="s">
        <v>144</v>
      </c>
      <c r="S154" s="5" t="n">
        <v>46215</v>
      </c>
      <c r="T154" s="5" t="n">
        <v>46236</v>
      </c>
      <c r="U154" s="3" t="s">
        <v>208</v>
      </c>
      <c r="V154" s="3" t="n">
        <f aca="false">COUNTIFS(Colours!$A$2:$A$742,$A154,Colours!$D$2:$D$742,"Ordered")</f>
        <v>2</v>
      </c>
    </row>
    <row r="155" customFormat="false" ht="15" hidden="false" customHeight="false" outlineLevel="0" collapsed="false">
      <c r="A155" s="3" t="s">
        <v>408</v>
      </c>
      <c r="B155" s="3" t="s">
        <v>131</v>
      </c>
      <c r="C155" s="3" t="s">
        <v>360</v>
      </c>
      <c r="D155" s="3" t="s">
        <v>25</v>
      </c>
      <c r="E155" s="3" t="s">
        <v>26</v>
      </c>
      <c r="F155" s="3" t="s">
        <v>27</v>
      </c>
      <c r="G155" s="3" t="s">
        <v>94</v>
      </c>
      <c r="H155" s="3" t="s">
        <v>409</v>
      </c>
      <c r="I155" s="3" t="s">
        <v>134</v>
      </c>
      <c r="J155" s="4" t="n">
        <v>37.07</v>
      </c>
      <c r="K155" s="3" t="s">
        <v>31</v>
      </c>
      <c r="L155" s="3" t="s">
        <v>32</v>
      </c>
      <c r="M155" s="3" t="n">
        <v>100</v>
      </c>
      <c r="N155" s="3" t="n">
        <v>6</v>
      </c>
      <c r="O155" s="3" t="s">
        <v>33</v>
      </c>
      <c r="P155" s="3" t="s">
        <v>34</v>
      </c>
      <c r="Q155" s="3" t="s">
        <v>48</v>
      </c>
      <c r="R155" s="3" t="s">
        <v>144</v>
      </c>
      <c r="S155" s="5" t="n">
        <v>46190</v>
      </c>
      <c r="T155" s="5" t="n">
        <v>46306</v>
      </c>
      <c r="U155" s="3"/>
      <c r="V155" s="3" t="n">
        <f aca="false">COUNTIFS(Colours!$A$2:$A$742,$A155,Colours!$D$2:$D$742,"Ordered")</f>
        <v>1</v>
      </c>
    </row>
    <row r="156" customFormat="false" ht="15" hidden="false" customHeight="false" outlineLevel="0" collapsed="false">
      <c r="A156" s="3" t="s">
        <v>410</v>
      </c>
      <c r="B156" s="3" t="s">
        <v>309</v>
      </c>
      <c r="C156" s="3" t="s">
        <v>360</v>
      </c>
      <c r="D156" s="3" t="s">
        <v>25</v>
      </c>
      <c r="E156" s="3" t="s">
        <v>26</v>
      </c>
      <c r="F156" s="3" t="s">
        <v>99</v>
      </c>
      <c r="G156" s="3" t="s">
        <v>175</v>
      </c>
      <c r="H156" s="3" t="s">
        <v>411</v>
      </c>
      <c r="I156" s="3" t="s">
        <v>151</v>
      </c>
      <c r="J156" s="4" t="n">
        <v>69.31</v>
      </c>
      <c r="K156" s="3" t="s">
        <v>31</v>
      </c>
      <c r="L156" s="3" t="s">
        <v>32</v>
      </c>
      <c r="M156" s="3" t="n">
        <v>20</v>
      </c>
      <c r="N156" s="3" t="n">
        <v>9</v>
      </c>
      <c r="O156" s="3"/>
      <c r="P156" s="3" t="s">
        <v>34</v>
      </c>
      <c r="Q156" s="3" t="s">
        <v>35</v>
      </c>
      <c r="R156" s="3" t="s">
        <v>80</v>
      </c>
      <c r="S156" s="5" t="n">
        <v>46175</v>
      </c>
      <c r="T156" s="5" t="n">
        <v>46264</v>
      </c>
      <c r="U156" s="3"/>
      <c r="V156" s="3" t="n">
        <f aca="false">COUNTIFS(Colours!$A$2:$A$742,$A156,Colours!$D$2:$D$742,"Ordered")</f>
        <v>1</v>
      </c>
    </row>
    <row r="157" customFormat="false" ht="15" hidden="false" customHeight="false" outlineLevel="0" collapsed="false">
      <c r="A157" s="3" t="s">
        <v>412</v>
      </c>
      <c r="B157" s="3" t="s">
        <v>51</v>
      </c>
      <c r="C157" s="3" t="s">
        <v>360</v>
      </c>
      <c r="D157" s="3" t="s">
        <v>155</v>
      </c>
      <c r="E157" s="3" t="s">
        <v>156</v>
      </c>
      <c r="F157" s="3" t="s">
        <v>54</v>
      </c>
      <c r="G157" s="3" t="s">
        <v>160</v>
      </c>
      <c r="H157" s="3"/>
      <c r="I157" s="3" t="s">
        <v>198</v>
      </c>
      <c r="J157" s="4"/>
      <c r="K157" s="3" t="s">
        <v>31</v>
      </c>
      <c r="L157" s="3" t="s">
        <v>32</v>
      </c>
      <c r="M157" s="3" t="n">
        <v>300</v>
      </c>
      <c r="N157" s="3" t="n">
        <v>7</v>
      </c>
      <c r="O157" s="3" t="s">
        <v>91</v>
      </c>
      <c r="P157" s="3"/>
      <c r="Q157" s="3" t="s">
        <v>35</v>
      </c>
      <c r="R157" s="3" t="s">
        <v>144</v>
      </c>
      <c r="S157" s="5" t="n">
        <v>46210</v>
      </c>
      <c r="T157" s="5" t="n">
        <v>46302</v>
      </c>
      <c r="U157" s="3" t="s">
        <v>59</v>
      </c>
      <c r="V157" s="3" t="n">
        <f aca="false">COUNTIFS(Colours!$A$2:$A$742,$A157,Colours!$D$2:$D$742,"Ordered")</f>
        <v>0</v>
      </c>
    </row>
    <row r="158" customFormat="false" ht="15" hidden="false" customHeight="false" outlineLevel="0" collapsed="false">
      <c r="A158" s="3" t="s">
        <v>413</v>
      </c>
      <c r="B158" s="3" t="s">
        <v>115</v>
      </c>
      <c r="C158" s="3" t="s">
        <v>360</v>
      </c>
      <c r="D158" s="3" t="s">
        <v>116</v>
      </c>
      <c r="E158" s="3" t="s">
        <v>117</v>
      </c>
      <c r="F158" s="3" t="s">
        <v>86</v>
      </c>
      <c r="G158" s="3" t="s">
        <v>146</v>
      </c>
      <c r="H158" s="3" t="s">
        <v>112</v>
      </c>
      <c r="I158" s="3" t="s">
        <v>120</v>
      </c>
      <c r="J158" s="4" t="n">
        <v>11.36</v>
      </c>
      <c r="K158" s="3" t="s">
        <v>31</v>
      </c>
      <c r="L158" s="3" t="s">
        <v>90</v>
      </c>
      <c r="M158" s="3" t="s">
        <v>222</v>
      </c>
      <c r="N158" s="3" t="n">
        <v>11</v>
      </c>
      <c r="O158" s="3" t="s">
        <v>91</v>
      </c>
      <c r="P158" s="3"/>
      <c r="Q158" s="3" t="s">
        <v>48</v>
      </c>
      <c r="R158" s="3" t="s">
        <v>49</v>
      </c>
      <c r="S158" s="5" t="n">
        <v>46187</v>
      </c>
      <c r="T158" s="5" t="n">
        <v>46240</v>
      </c>
      <c r="U158" s="3"/>
      <c r="V158" s="3" t="n">
        <f aca="false">COUNTIFS(Colours!$A$2:$A$742,$A158,Colours!$D$2:$D$742,"Ordered")</f>
        <v>1</v>
      </c>
    </row>
    <row r="159" customFormat="false" ht="15" hidden="false" customHeight="false" outlineLevel="0" collapsed="false">
      <c r="A159" s="3" t="s">
        <v>414</v>
      </c>
      <c r="B159" s="3" t="s">
        <v>330</v>
      </c>
      <c r="C159" s="3" t="s">
        <v>360</v>
      </c>
      <c r="D159" s="3" t="s">
        <v>172</v>
      </c>
      <c r="E159" s="3" t="s">
        <v>173</v>
      </c>
      <c r="F159" s="3" t="s">
        <v>174</v>
      </c>
      <c r="G159" s="3" t="s">
        <v>160</v>
      </c>
      <c r="H159" s="3" t="s">
        <v>336</v>
      </c>
      <c r="I159" s="3" t="s">
        <v>177</v>
      </c>
      <c r="J159" s="4" t="s">
        <v>222</v>
      </c>
      <c r="K159" s="3" t="s">
        <v>31</v>
      </c>
      <c r="L159" s="3" t="s">
        <v>178</v>
      </c>
      <c r="M159" s="3" t="n">
        <v>100</v>
      </c>
      <c r="N159" s="3" t="s">
        <v>222</v>
      </c>
      <c r="O159" s="3" t="s">
        <v>33</v>
      </c>
      <c r="P159" s="3" t="s">
        <v>103</v>
      </c>
      <c r="Q159" s="3" t="s">
        <v>48</v>
      </c>
      <c r="R159" s="3" t="s">
        <v>58</v>
      </c>
      <c r="S159" s="5" t="n">
        <v>46192</v>
      </c>
      <c r="T159" s="5" t="n">
        <v>46311</v>
      </c>
      <c r="U159" s="3"/>
      <c r="V159" s="3" t="n">
        <f aca="false">COUNTIFS(Colours!$A$2:$A$742,$A159,Colours!$D$2:$D$742,"Ordered")</f>
        <v>2</v>
      </c>
    </row>
    <row r="160" customFormat="false" ht="15" hidden="false" customHeight="false" outlineLevel="0" collapsed="false">
      <c r="A160" s="3" t="s">
        <v>415</v>
      </c>
      <c r="B160" s="3" t="s">
        <v>300</v>
      </c>
      <c r="C160" s="3" t="s">
        <v>360</v>
      </c>
      <c r="D160" s="3" t="s">
        <v>172</v>
      </c>
      <c r="E160" s="3" t="s">
        <v>173</v>
      </c>
      <c r="F160" s="3" t="s">
        <v>174</v>
      </c>
      <c r="G160" s="3" t="s">
        <v>301</v>
      </c>
      <c r="H160" s="3" t="s">
        <v>176</v>
      </c>
      <c r="I160" s="3" t="s">
        <v>177</v>
      </c>
      <c r="J160" s="4" t="n">
        <v>88.35</v>
      </c>
      <c r="K160" s="3" t="s">
        <v>31</v>
      </c>
      <c r="L160" s="3" t="s">
        <v>178</v>
      </c>
      <c r="M160" s="3" t="n">
        <v>100</v>
      </c>
      <c r="N160" s="3" t="n">
        <v>5</v>
      </c>
      <c r="O160" s="3" t="s">
        <v>33</v>
      </c>
      <c r="P160" s="3"/>
      <c r="Q160" s="3" t="s">
        <v>68</v>
      </c>
      <c r="R160" s="3" t="s">
        <v>80</v>
      </c>
      <c r="S160" s="5" t="n">
        <v>46174</v>
      </c>
      <c r="T160" s="5" t="n">
        <v>46235</v>
      </c>
      <c r="U160" s="3"/>
      <c r="V160" s="3" t="n">
        <f aca="false">COUNTIFS(Colours!$A$2:$A$742,$A160,Colours!$D$2:$D$742,"Ordered")</f>
        <v>1</v>
      </c>
    </row>
    <row r="161" customFormat="false" ht="15" hidden="false" customHeight="false" outlineLevel="0" collapsed="false">
      <c r="A161" s="3" t="s">
        <v>416</v>
      </c>
      <c r="B161" s="3" t="s">
        <v>168</v>
      </c>
      <c r="C161" s="3" t="s">
        <v>360</v>
      </c>
      <c r="D161" s="3" t="s">
        <v>52</v>
      </c>
      <c r="E161" s="3" t="s">
        <v>53</v>
      </c>
      <c r="F161" s="3" t="s">
        <v>54</v>
      </c>
      <c r="G161" s="3" t="s">
        <v>55</v>
      </c>
      <c r="H161" s="3" t="s">
        <v>417</v>
      </c>
      <c r="I161" s="3" t="s">
        <v>198</v>
      </c>
      <c r="J161" s="4" t="n">
        <v>9.96</v>
      </c>
      <c r="K161" s="3" t="s">
        <v>31</v>
      </c>
      <c r="L161" s="3"/>
      <c r="M161" s="3" t="n">
        <v>20</v>
      </c>
      <c r="N161" s="3" t="n">
        <v>13</v>
      </c>
      <c r="O161" s="3" t="s">
        <v>33</v>
      </c>
      <c r="P161" s="3"/>
      <c r="Q161" s="3" t="s">
        <v>35</v>
      </c>
      <c r="R161" s="3" t="s">
        <v>58</v>
      </c>
      <c r="S161" s="5" t="n">
        <v>46200</v>
      </c>
      <c r="T161" s="5" t="n">
        <v>46292</v>
      </c>
      <c r="U161" s="3" t="s">
        <v>81</v>
      </c>
      <c r="V161" s="3" t="n">
        <f aca="false">COUNTIFS(Colours!$A$2:$A$742,$A161,Colours!$D$2:$D$742,"Ordered")</f>
        <v>4</v>
      </c>
    </row>
    <row r="162" customFormat="false" ht="15" hidden="false" customHeight="false" outlineLevel="0" collapsed="false">
      <c r="A162" s="3" t="s">
        <v>418</v>
      </c>
      <c r="B162" s="3" t="s">
        <v>131</v>
      </c>
      <c r="C162" s="3" t="s">
        <v>360</v>
      </c>
      <c r="D162" s="3" t="s">
        <v>155</v>
      </c>
      <c r="E162" s="3" t="s">
        <v>156</v>
      </c>
      <c r="F162" s="3" t="s">
        <v>27</v>
      </c>
      <c r="G162" s="3" t="s">
        <v>140</v>
      </c>
      <c r="H162" s="3" t="s">
        <v>419</v>
      </c>
      <c r="I162" s="3" t="s">
        <v>30</v>
      </c>
      <c r="J162" s="4"/>
      <c r="K162" s="3" t="s">
        <v>31</v>
      </c>
      <c r="L162" s="3" t="s">
        <v>32</v>
      </c>
      <c r="M162" s="3" t="n">
        <v>100</v>
      </c>
      <c r="N162" s="3"/>
      <c r="O162" s="3" t="s">
        <v>91</v>
      </c>
      <c r="P162" s="3" t="s">
        <v>103</v>
      </c>
      <c r="Q162" s="3" t="s">
        <v>48</v>
      </c>
      <c r="R162" s="3" t="s">
        <v>58</v>
      </c>
      <c r="S162" s="5" t="n">
        <v>46215</v>
      </c>
      <c r="T162" s="5" t="n">
        <v>46311</v>
      </c>
      <c r="U162" s="3"/>
      <c r="V162" s="3" t="n">
        <f aca="false">COUNTIFS(Colours!$A$2:$A$742,$A162,Colours!$D$2:$D$742,"Ordered")</f>
        <v>4</v>
      </c>
    </row>
    <row r="163" customFormat="false" ht="15" hidden="false" customHeight="false" outlineLevel="0" collapsed="false">
      <c r="A163" s="3" t="s">
        <v>420</v>
      </c>
      <c r="B163" s="3" t="s">
        <v>168</v>
      </c>
      <c r="C163" s="3" t="s">
        <v>360</v>
      </c>
      <c r="D163" s="3" t="s">
        <v>52</v>
      </c>
      <c r="E163" s="3" t="s">
        <v>53</v>
      </c>
      <c r="F163" s="3" t="s">
        <v>54</v>
      </c>
      <c r="G163" s="3" t="s">
        <v>55</v>
      </c>
      <c r="H163" s="3"/>
      <c r="I163" s="3" t="s">
        <v>30</v>
      </c>
      <c r="J163" s="4"/>
      <c r="K163" s="3" t="s">
        <v>31</v>
      </c>
      <c r="L163" s="3" t="s">
        <v>32</v>
      </c>
      <c r="M163" s="3" t="n">
        <v>300</v>
      </c>
      <c r="N163" s="3" t="n">
        <v>7</v>
      </c>
      <c r="O163" s="3" t="s">
        <v>33</v>
      </c>
      <c r="P163" s="3" t="s">
        <v>34</v>
      </c>
      <c r="Q163" s="3" t="s">
        <v>68</v>
      </c>
      <c r="R163" s="3" t="s">
        <v>80</v>
      </c>
      <c r="S163" s="5" t="n">
        <v>46230</v>
      </c>
      <c r="T163" s="5" t="n">
        <v>46282</v>
      </c>
      <c r="U163" s="3"/>
      <c r="V163" s="3" t="n">
        <f aca="false">COUNTIFS(Colours!$A$2:$A$742,$A163,Colours!$D$2:$D$742,"Ordered")</f>
        <v>2</v>
      </c>
    </row>
    <row r="164" customFormat="false" ht="15" hidden="false" customHeight="false" outlineLevel="0" collapsed="false">
      <c r="A164" s="3" t="s">
        <v>421</v>
      </c>
      <c r="B164" s="3" t="s">
        <v>357</v>
      </c>
      <c r="C164" s="3" t="s">
        <v>360</v>
      </c>
      <c r="D164" s="3" t="s">
        <v>52</v>
      </c>
      <c r="E164" s="3" t="s">
        <v>53</v>
      </c>
      <c r="F164" s="3" t="s">
        <v>64</v>
      </c>
      <c r="G164" s="3" t="s">
        <v>65</v>
      </c>
      <c r="H164" s="3" t="s">
        <v>422</v>
      </c>
      <c r="I164" s="3" t="s">
        <v>45</v>
      </c>
      <c r="J164" s="4" t="n">
        <v>74.23</v>
      </c>
      <c r="K164" s="3" t="s">
        <v>31</v>
      </c>
      <c r="L164" s="3" t="s">
        <v>32</v>
      </c>
      <c r="M164" s="3" t="n">
        <v>50</v>
      </c>
      <c r="N164" s="3" t="n">
        <v>13</v>
      </c>
      <c r="O164" s="3" t="s">
        <v>33</v>
      </c>
      <c r="P164" s="3"/>
      <c r="Q164" s="3" t="s">
        <v>48</v>
      </c>
      <c r="R164" s="3" t="s">
        <v>36</v>
      </c>
      <c r="S164" s="5" t="n">
        <v>46177</v>
      </c>
      <c r="T164" s="5" t="n">
        <v>46226</v>
      </c>
      <c r="U164" s="3"/>
      <c r="V164" s="3" t="n">
        <f aca="false">COUNTIFS(Colours!$A$2:$A$742,$A164,Colours!$D$2:$D$742,"Ordered")</f>
        <v>6</v>
      </c>
    </row>
    <row r="165" customFormat="false" ht="15" hidden="false" customHeight="false" outlineLevel="0" collapsed="false">
      <c r="A165" s="3" t="s">
        <v>423</v>
      </c>
      <c r="B165" s="3" t="s">
        <v>424</v>
      </c>
      <c r="C165" s="3" t="s">
        <v>360</v>
      </c>
      <c r="D165" s="3" t="s">
        <v>172</v>
      </c>
      <c r="E165" s="3" t="s">
        <v>173</v>
      </c>
      <c r="F165" s="3" t="s">
        <v>174</v>
      </c>
      <c r="G165" s="3" t="s">
        <v>160</v>
      </c>
      <c r="H165" s="3" t="s">
        <v>176</v>
      </c>
      <c r="I165" s="3" t="s">
        <v>177</v>
      </c>
      <c r="J165" s="4" t="n">
        <v>121.23</v>
      </c>
      <c r="K165" s="3" t="s">
        <v>31</v>
      </c>
      <c r="L165" s="3" t="s">
        <v>178</v>
      </c>
      <c r="M165" s="3" t="n">
        <v>100</v>
      </c>
      <c r="N165" s="3" t="n">
        <v>14</v>
      </c>
      <c r="O165" s="3"/>
      <c r="P165" s="3"/>
      <c r="Q165" s="3" t="s">
        <v>48</v>
      </c>
      <c r="R165" s="3" t="s">
        <v>49</v>
      </c>
      <c r="S165" s="5" t="n">
        <v>46179</v>
      </c>
      <c r="T165" s="5" t="n">
        <v>46262</v>
      </c>
      <c r="U165" s="3"/>
      <c r="V165" s="3" t="n">
        <f aca="false">COUNTIFS(Colours!$A$2:$A$742,$A165,Colours!$D$2:$D$742,"Ordered")</f>
        <v>2</v>
      </c>
    </row>
    <row r="166" customFormat="false" ht="15" hidden="false" customHeight="false" outlineLevel="0" collapsed="false">
      <c r="A166" s="3" t="s">
        <v>425</v>
      </c>
      <c r="B166" s="3"/>
      <c r="C166" s="3" t="s">
        <v>360</v>
      </c>
      <c r="D166" s="3" t="s">
        <v>25</v>
      </c>
      <c r="E166" s="3" t="s">
        <v>26</v>
      </c>
      <c r="F166" s="3" t="s">
        <v>99</v>
      </c>
      <c r="G166" s="3" t="s">
        <v>210</v>
      </c>
      <c r="H166" s="3" t="s">
        <v>426</v>
      </c>
      <c r="I166" s="3" t="s">
        <v>151</v>
      </c>
      <c r="J166" s="4" t="n">
        <v>28.59</v>
      </c>
      <c r="K166" s="3" t="s">
        <v>31</v>
      </c>
      <c r="L166" s="3" t="s">
        <v>32</v>
      </c>
      <c r="M166" s="3" t="n">
        <v>100</v>
      </c>
      <c r="N166" s="3" t="n">
        <v>14</v>
      </c>
      <c r="O166" s="3" t="s">
        <v>33</v>
      </c>
      <c r="P166" s="3" t="s">
        <v>152</v>
      </c>
      <c r="Q166" s="3" t="s">
        <v>35</v>
      </c>
      <c r="R166" s="3" t="s">
        <v>49</v>
      </c>
      <c r="S166" s="5" t="n">
        <v>46200</v>
      </c>
      <c r="T166" s="5" t="n">
        <v>46295</v>
      </c>
      <c r="U166" s="3"/>
      <c r="V166" s="3" t="n">
        <f aca="false">COUNTIFS(Colours!$A$2:$A$742,$A166,Colours!$D$2:$D$742,"Ordered")</f>
        <v>2</v>
      </c>
    </row>
    <row r="167" customFormat="false" ht="15" hidden="false" customHeight="false" outlineLevel="0" collapsed="false">
      <c r="A167" s="3" t="s">
        <v>427</v>
      </c>
      <c r="B167" s="3" t="s">
        <v>362</v>
      </c>
      <c r="C167" s="3" t="s">
        <v>360</v>
      </c>
      <c r="D167" s="3" t="s">
        <v>62</v>
      </c>
      <c r="E167" s="3" t="s">
        <v>63</v>
      </c>
      <c r="F167" s="3" t="s">
        <v>64</v>
      </c>
      <c r="G167" s="3" t="s">
        <v>185</v>
      </c>
      <c r="H167" s="3" t="s">
        <v>428</v>
      </c>
      <c r="I167" s="3" t="s">
        <v>45</v>
      </c>
      <c r="J167" s="4" t="n">
        <v>92.25</v>
      </c>
      <c r="K167" s="3" t="s">
        <v>31</v>
      </c>
      <c r="L167" s="3" t="s">
        <v>32</v>
      </c>
      <c r="M167" s="3"/>
      <c r="N167" s="3" t="s">
        <v>124</v>
      </c>
      <c r="O167" s="3" t="s">
        <v>67</v>
      </c>
      <c r="P167" s="3" t="s">
        <v>34</v>
      </c>
      <c r="Q167" s="3" t="s">
        <v>48</v>
      </c>
      <c r="R167" s="3" t="s">
        <v>144</v>
      </c>
      <c r="S167" s="5" t="n">
        <v>46205</v>
      </c>
      <c r="T167" s="5" t="n">
        <v>46270</v>
      </c>
      <c r="U167" s="3"/>
      <c r="V167" s="3" t="n">
        <f aca="false">COUNTIFS(Colours!$A$2:$A$742,$A167,Colours!$D$2:$D$742,"Ordered")</f>
        <v>1</v>
      </c>
    </row>
    <row r="168" customFormat="false" ht="15" hidden="false" customHeight="false" outlineLevel="0" collapsed="false">
      <c r="A168" s="3" t="s">
        <v>429</v>
      </c>
      <c r="B168" s="3" t="s">
        <v>109</v>
      </c>
      <c r="C168" s="3" t="s">
        <v>360</v>
      </c>
      <c r="D168" s="3" t="s">
        <v>110</v>
      </c>
      <c r="E168" s="3" t="s">
        <v>111</v>
      </c>
      <c r="F168" s="3" t="s">
        <v>86</v>
      </c>
      <c r="G168" s="3" t="s">
        <v>87</v>
      </c>
      <c r="H168" s="3" t="s">
        <v>286</v>
      </c>
      <c r="I168" s="3" t="s">
        <v>120</v>
      </c>
      <c r="J168" s="4" t="s">
        <v>124</v>
      </c>
      <c r="K168" s="3" t="s">
        <v>31</v>
      </c>
      <c r="L168" s="3" t="s">
        <v>90</v>
      </c>
      <c r="M168" s="3" t="n">
        <v>200</v>
      </c>
      <c r="N168" s="3" t="n">
        <v>4</v>
      </c>
      <c r="O168" s="3" t="s">
        <v>33</v>
      </c>
      <c r="P168" s="3" t="s">
        <v>128</v>
      </c>
      <c r="Q168" s="3" t="s">
        <v>48</v>
      </c>
      <c r="R168" s="3" t="s">
        <v>49</v>
      </c>
      <c r="S168" s="5" t="n">
        <v>46195</v>
      </c>
      <c r="T168" s="5" t="n">
        <v>46285</v>
      </c>
      <c r="U168" s="3"/>
      <c r="V168" s="3" t="n">
        <f aca="false">COUNTIFS(Colours!$A$2:$A$742,$A168,Colours!$D$2:$D$742,"Ordered")</f>
        <v>1</v>
      </c>
    </row>
    <row r="169" customFormat="false" ht="15" hidden="false" customHeight="false" outlineLevel="0" collapsed="false">
      <c r="A169" s="3" t="s">
        <v>430</v>
      </c>
      <c r="B169" s="3" t="s">
        <v>300</v>
      </c>
      <c r="C169" s="3" t="s">
        <v>360</v>
      </c>
      <c r="D169" s="3" t="s">
        <v>172</v>
      </c>
      <c r="E169" s="3" t="s">
        <v>173</v>
      </c>
      <c r="F169" s="3" t="s">
        <v>174</v>
      </c>
      <c r="G169" s="3" t="s">
        <v>210</v>
      </c>
      <c r="H169" s="3" t="s">
        <v>176</v>
      </c>
      <c r="I169" s="3" t="s">
        <v>177</v>
      </c>
      <c r="J169" s="4" t="n">
        <v>57.72</v>
      </c>
      <c r="K169" s="3" t="s">
        <v>31</v>
      </c>
      <c r="L169" s="3"/>
      <c r="M169" s="3" t="s">
        <v>222</v>
      </c>
      <c r="N169" s="3" t="n">
        <v>6</v>
      </c>
      <c r="O169" s="3" t="s">
        <v>33</v>
      </c>
      <c r="P169" s="3" t="s">
        <v>103</v>
      </c>
      <c r="Q169" s="3" t="s">
        <v>68</v>
      </c>
      <c r="R169" s="3" t="s">
        <v>36</v>
      </c>
      <c r="S169" s="5" t="n">
        <v>46195</v>
      </c>
      <c r="T169" s="5" t="n">
        <v>46301</v>
      </c>
      <c r="U169" s="3"/>
      <c r="V169" s="3" t="n">
        <f aca="false">COUNTIFS(Colours!$A$2:$A$742,$A169,Colours!$D$2:$D$742,"Ordered")</f>
        <v>0</v>
      </c>
    </row>
    <row r="170" customFormat="false" ht="15" hidden="false" customHeight="false" outlineLevel="0" collapsed="false">
      <c r="A170" s="3" t="s">
        <v>431</v>
      </c>
      <c r="B170" s="3" t="s">
        <v>109</v>
      </c>
      <c r="C170" s="3" t="s">
        <v>360</v>
      </c>
      <c r="D170" s="3" t="s">
        <v>116</v>
      </c>
      <c r="E170" s="3" t="s">
        <v>117</v>
      </c>
      <c r="F170" s="3" t="s">
        <v>86</v>
      </c>
      <c r="G170" s="3" t="s">
        <v>127</v>
      </c>
      <c r="H170" s="3" t="s">
        <v>286</v>
      </c>
      <c r="I170" s="3" t="s">
        <v>123</v>
      </c>
      <c r="J170" s="4" t="s">
        <v>124</v>
      </c>
      <c r="K170" s="3" t="s">
        <v>31</v>
      </c>
      <c r="L170" s="3" t="s">
        <v>90</v>
      </c>
      <c r="M170" s="3" t="n">
        <v>300</v>
      </c>
      <c r="N170" s="3" t="n">
        <v>7</v>
      </c>
      <c r="O170" s="3" t="s">
        <v>91</v>
      </c>
      <c r="P170" s="3"/>
      <c r="Q170" s="3" t="s">
        <v>48</v>
      </c>
      <c r="R170" s="3" t="s">
        <v>36</v>
      </c>
      <c r="S170" s="5" t="n">
        <v>46218</v>
      </c>
      <c r="T170" s="5" t="n">
        <v>46311</v>
      </c>
      <c r="U170" s="3"/>
      <c r="V170" s="3" t="n">
        <f aca="false">COUNTIFS(Colours!$A$2:$A$742,$A170,Colours!$D$2:$D$742,"Ordered")</f>
        <v>3</v>
      </c>
    </row>
    <row r="171" customFormat="false" ht="15" hidden="false" customHeight="false" outlineLevel="0" collapsed="false">
      <c r="A171" s="3" t="s">
        <v>432</v>
      </c>
      <c r="B171" s="3" t="s">
        <v>242</v>
      </c>
      <c r="C171" s="3" t="s">
        <v>360</v>
      </c>
      <c r="D171" s="3" t="s">
        <v>71</v>
      </c>
      <c r="E171" s="3" t="s">
        <v>72</v>
      </c>
      <c r="F171" s="3" t="s">
        <v>73</v>
      </c>
      <c r="G171" s="3" t="s">
        <v>74</v>
      </c>
      <c r="H171" s="3" t="s">
        <v>205</v>
      </c>
      <c r="I171" s="3" t="s">
        <v>45</v>
      </c>
      <c r="J171" s="4" t="n">
        <v>16.5</v>
      </c>
      <c r="K171" s="3" t="s">
        <v>31</v>
      </c>
      <c r="L171" s="3" t="s">
        <v>32</v>
      </c>
      <c r="M171" s="3" t="n">
        <v>100</v>
      </c>
      <c r="N171" s="3" t="n">
        <v>6</v>
      </c>
      <c r="O171" s="3" t="s">
        <v>33</v>
      </c>
      <c r="P171" s="3" t="s">
        <v>76</v>
      </c>
      <c r="Q171" s="3" t="s">
        <v>48</v>
      </c>
      <c r="R171" s="3" t="s">
        <v>36</v>
      </c>
      <c r="S171" s="5" t="n">
        <v>46200</v>
      </c>
      <c r="T171" s="5" t="n">
        <v>46289</v>
      </c>
      <c r="U171" s="3"/>
      <c r="V171" s="3" t="n">
        <f aca="false">COUNTIFS(Colours!$A$2:$A$742,$A171,Colours!$D$2:$D$742,"Ordered")</f>
        <v>3</v>
      </c>
    </row>
    <row r="172" customFormat="false" ht="15" hidden="false" customHeight="false" outlineLevel="0" collapsed="false">
      <c r="A172" s="3" t="s">
        <v>433</v>
      </c>
      <c r="B172" s="3" t="s">
        <v>105</v>
      </c>
      <c r="C172" s="3" t="s">
        <v>360</v>
      </c>
      <c r="D172" s="3" t="s">
        <v>71</v>
      </c>
      <c r="E172" s="3" t="s">
        <v>72</v>
      </c>
      <c r="F172" s="3" t="s">
        <v>73</v>
      </c>
      <c r="G172" s="3" t="s">
        <v>74</v>
      </c>
      <c r="H172" s="3" t="s">
        <v>434</v>
      </c>
      <c r="I172" s="3" t="s">
        <v>198</v>
      </c>
      <c r="J172" s="4" t="n">
        <v>27.53</v>
      </c>
      <c r="K172" s="3" t="s">
        <v>31</v>
      </c>
      <c r="L172" s="3" t="s">
        <v>32</v>
      </c>
      <c r="M172" s="3" t="n">
        <v>300</v>
      </c>
      <c r="N172" s="3" t="n">
        <v>4</v>
      </c>
      <c r="O172" s="3" t="s">
        <v>33</v>
      </c>
      <c r="P172" s="3" t="s">
        <v>76</v>
      </c>
      <c r="Q172" s="3" t="s">
        <v>48</v>
      </c>
      <c r="R172" s="3" t="s">
        <v>36</v>
      </c>
      <c r="S172" s="5" t="n">
        <v>46198</v>
      </c>
      <c r="T172" s="5" t="n">
        <v>46311</v>
      </c>
      <c r="U172" s="3" t="s">
        <v>135</v>
      </c>
      <c r="V172" s="3" t="n">
        <f aca="false">COUNTIFS(Colours!$A$2:$A$742,$A172,Colours!$D$2:$D$742,"Ordered")</f>
        <v>3</v>
      </c>
    </row>
    <row r="173" customFormat="false" ht="15" hidden="false" customHeight="false" outlineLevel="0" collapsed="false">
      <c r="A173" s="3" t="s">
        <v>435</v>
      </c>
      <c r="B173" s="3" t="s">
        <v>115</v>
      </c>
      <c r="C173" s="3" t="s">
        <v>360</v>
      </c>
      <c r="D173" s="3" t="s">
        <v>110</v>
      </c>
      <c r="E173" s="3" t="s">
        <v>111</v>
      </c>
      <c r="F173" s="3" t="s">
        <v>86</v>
      </c>
      <c r="G173" s="3" t="s">
        <v>118</v>
      </c>
      <c r="H173" s="3" t="s">
        <v>143</v>
      </c>
      <c r="I173" s="3" t="s">
        <v>113</v>
      </c>
      <c r="J173" s="4"/>
      <c r="K173" s="3" t="s">
        <v>31</v>
      </c>
      <c r="L173" s="3" t="s">
        <v>90</v>
      </c>
      <c r="M173" s="3" t="n">
        <v>200</v>
      </c>
      <c r="N173" s="3"/>
      <c r="O173" s="3" t="s">
        <v>33</v>
      </c>
      <c r="P173" s="3" t="s">
        <v>92</v>
      </c>
      <c r="Q173" s="3" t="s">
        <v>68</v>
      </c>
      <c r="R173" s="3" t="s">
        <v>80</v>
      </c>
      <c r="S173" s="5" t="n">
        <v>46182</v>
      </c>
      <c r="T173" s="5" t="n">
        <v>46280</v>
      </c>
      <c r="U173" s="3"/>
      <c r="V173" s="3" t="n">
        <f aca="false">COUNTIFS(Colours!$A$2:$A$742,$A173,Colours!$D$2:$D$742,"Ordered")</f>
        <v>3</v>
      </c>
    </row>
    <row r="174" customFormat="false" ht="15" hidden="false" customHeight="false" outlineLevel="0" collapsed="false">
      <c r="A174" s="3" t="s">
        <v>436</v>
      </c>
      <c r="B174" s="3" t="s">
        <v>309</v>
      </c>
      <c r="C174" s="3" t="s">
        <v>360</v>
      </c>
      <c r="D174" s="3" t="s">
        <v>155</v>
      </c>
      <c r="E174" s="3" t="s">
        <v>156</v>
      </c>
      <c r="F174" s="3" t="s">
        <v>99</v>
      </c>
      <c r="G174" s="3" t="s">
        <v>149</v>
      </c>
      <c r="H174" s="3" t="s">
        <v>399</v>
      </c>
      <c r="I174" s="3" t="s">
        <v>206</v>
      </c>
      <c r="J174" s="4" t="s">
        <v>222</v>
      </c>
      <c r="K174" s="3" t="s">
        <v>31</v>
      </c>
      <c r="L174" s="3" t="s">
        <v>32</v>
      </c>
      <c r="M174" s="3" t="n">
        <v>150</v>
      </c>
      <c r="N174" s="3" t="s">
        <v>222</v>
      </c>
      <c r="O174" s="3" t="s">
        <v>91</v>
      </c>
      <c r="P174" s="3"/>
      <c r="Q174" s="3" t="s">
        <v>48</v>
      </c>
      <c r="R174" s="3" t="s">
        <v>36</v>
      </c>
      <c r="S174" s="5" t="n">
        <v>46184</v>
      </c>
      <c r="T174" s="5" t="n">
        <v>46242</v>
      </c>
      <c r="U174" s="3" t="s">
        <v>305</v>
      </c>
      <c r="V174" s="3" t="n">
        <f aca="false">COUNTIFS(Colours!$A$2:$A$742,$A174,Colours!$D$2:$D$742,"Ordered")</f>
        <v>1</v>
      </c>
    </row>
    <row r="175" customFormat="false" ht="15" hidden="false" customHeight="false" outlineLevel="0" collapsed="false">
      <c r="A175" s="3" t="s">
        <v>437</v>
      </c>
      <c r="B175" s="3" t="s">
        <v>239</v>
      </c>
      <c r="C175" s="3" t="s">
        <v>360</v>
      </c>
      <c r="D175" s="3" t="s">
        <v>62</v>
      </c>
      <c r="E175" s="3" t="s">
        <v>63</v>
      </c>
      <c r="F175" s="3" t="s">
        <v>42</v>
      </c>
      <c r="G175" s="3" t="s">
        <v>261</v>
      </c>
      <c r="H175" s="3" t="s">
        <v>438</v>
      </c>
      <c r="I175" s="3" t="s">
        <v>30</v>
      </c>
      <c r="J175" s="4"/>
      <c r="K175" s="3" t="s">
        <v>31</v>
      </c>
      <c r="L175" s="3" t="s">
        <v>32</v>
      </c>
      <c r="M175" s="3" t="n">
        <v>300</v>
      </c>
      <c r="N175" s="3" t="n">
        <v>8</v>
      </c>
      <c r="O175" s="3" t="s">
        <v>67</v>
      </c>
      <c r="P175" s="3" t="s">
        <v>34</v>
      </c>
      <c r="Q175" s="3" t="s">
        <v>48</v>
      </c>
      <c r="R175" s="3" t="s">
        <v>144</v>
      </c>
      <c r="S175" s="5" t="n">
        <v>46218</v>
      </c>
      <c r="T175" s="5" t="n">
        <v>46311</v>
      </c>
      <c r="U175" s="3"/>
      <c r="V175" s="3" t="n">
        <f aca="false">COUNTIFS(Colours!$A$2:$A$742,$A175,Colours!$D$2:$D$742,"Ordered")</f>
        <v>2</v>
      </c>
    </row>
    <row r="176" customFormat="false" ht="15" hidden="false" customHeight="false" outlineLevel="0" collapsed="false">
      <c r="A176" s="3" t="s">
        <v>439</v>
      </c>
      <c r="B176" s="3" t="s">
        <v>126</v>
      </c>
      <c r="C176" s="3" t="s">
        <v>360</v>
      </c>
      <c r="D176" s="3" t="s">
        <v>116</v>
      </c>
      <c r="E176" s="3" t="s">
        <v>117</v>
      </c>
      <c r="F176" s="3" t="s">
        <v>86</v>
      </c>
      <c r="G176" s="3" t="s">
        <v>127</v>
      </c>
      <c r="H176" s="3" t="s">
        <v>88</v>
      </c>
      <c r="I176" s="3" t="s">
        <v>123</v>
      </c>
      <c r="J176" s="4"/>
      <c r="K176" s="3" t="s">
        <v>31</v>
      </c>
      <c r="L176" s="3" t="s">
        <v>90</v>
      </c>
      <c r="M176" s="3"/>
      <c r="N176" s="3" t="n">
        <v>12</v>
      </c>
      <c r="O176" s="3" t="s">
        <v>91</v>
      </c>
      <c r="P176" s="3" t="s">
        <v>92</v>
      </c>
      <c r="Q176" s="3" t="s">
        <v>68</v>
      </c>
      <c r="R176" s="3" t="s">
        <v>36</v>
      </c>
      <c r="S176" s="5" t="n">
        <v>46213</v>
      </c>
      <c r="T176" s="5" t="n">
        <v>46251</v>
      </c>
      <c r="U176" s="3"/>
      <c r="V176" s="3" t="n">
        <f aca="false">COUNTIFS(Colours!$A$2:$A$742,$A176,Colours!$D$2:$D$742,"Ordered")</f>
        <v>3</v>
      </c>
    </row>
    <row r="177" customFormat="false" ht="15" hidden="false" customHeight="false" outlineLevel="0" collapsed="false">
      <c r="A177" s="3" t="s">
        <v>440</v>
      </c>
      <c r="B177" s="3" t="s">
        <v>242</v>
      </c>
      <c r="C177" s="3" t="s">
        <v>360</v>
      </c>
      <c r="D177" s="3" t="s">
        <v>71</v>
      </c>
      <c r="E177" s="3" t="s">
        <v>72</v>
      </c>
      <c r="F177" s="3" t="s">
        <v>73</v>
      </c>
      <c r="G177" s="3" t="s">
        <v>74</v>
      </c>
      <c r="H177" s="3" t="s">
        <v>441</v>
      </c>
      <c r="I177" s="3" t="s">
        <v>45</v>
      </c>
      <c r="J177" s="4" t="n">
        <v>33.23</v>
      </c>
      <c r="K177" s="3" t="s">
        <v>31</v>
      </c>
      <c r="L177" s="3" t="s">
        <v>32</v>
      </c>
      <c r="M177" s="3" t="n">
        <v>20</v>
      </c>
      <c r="N177" s="3" t="n">
        <v>12</v>
      </c>
      <c r="O177" s="3" t="s">
        <v>33</v>
      </c>
      <c r="P177" s="3"/>
      <c r="Q177" s="3" t="s">
        <v>68</v>
      </c>
      <c r="R177" s="3" t="s">
        <v>144</v>
      </c>
      <c r="S177" s="5" t="n">
        <v>46225</v>
      </c>
      <c r="T177" s="5" t="n">
        <v>46257</v>
      </c>
      <c r="U177" s="3"/>
      <c r="V177" s="3" t="n">
        <f aca="false">COUNTIFS(Colours!$A$2:$A$742,$A177,Colours!$D$2:$D$742,"Ordered")</f>
        <v>1</v>
      </c>
    </row>
    <row r="178" customFormat="false" ht="15" hidden="false" customHeight="false" outlineLevel="0" collapsed="false">
      <c r="A178" s="3" t="s">
        <v>442</v>
      </c>
      <c r="B178" s="3" t="s">
        <v>98</v>
      </c>
      <c r="C178" s="3" t="s">
        <v>360</v>
      </c>
      <c r="D178" s="3" t="s">
        <v>25</v>
      </c>
      <c r="E178" s="3" t="s">
        <v>26</v>
      </c>
      <c r="F178" s="3" t="s">
        <v>99</v>
      </c>
      <c r="G178" s="3" t="s">
        <v>160</v>
      </c>
      <c r="H178" s="3" t="s">
        <v>443</v>
      </c>
      <c r="I178" s="3" t="s">
        <v>102</v>
      </c>
      <c r="J178" s="4" t="n">
        <v>78.53</v>
      </c>
      <c r="K178" s="3" t="s">
        <v>31</v>
      </c>
      <c r="L178" s="3"/>
      <c r="M178" s="3"/>
      <c r="N178" s="3" t="n">
        <v>9</v>
      </c>
      <c r="O178" s="3" t="s">
        <v>33</v>
      </c>
      <c r="P178" s="3" t="s">
        <v>103</v>
      </c>
      <c r="Q178" s="3" t="s">
        <v>68</v>
      </c>
      <c r="R178" s="3" t="s">
        <v>36</v>
      </c>
      <c r="S178" s="5" t="n">
        <v>46182</v>
      </c>
      <c r="T178" s="5" t="n">
        <v>46285</v>
      </c>
      <c r="U178" s="3" t="s">
        <v>305</v>
      </c>
      <c r="V178" s="3" t="n">
        <f aca="false">COUNTIFS(Colours!$A$2:$A$742,$A178,Colours!$D$2:$D$742,"Ordered")</f>
        <v>3</v>
      </c>
    </row>
    <row r="179" customFormat="false" ht="15" hidden="false" customHeight="false" outlineLevel="0" collapsed="false">
      <c r="A179" s="3" t="s">
        <v>444</v>
      </c>
      <c r="B179" s="3" t="s">
        <v>137</v>
      </c>
      <c r="C179" s="3" t="s">
        <v>360</v>
      </c>
      <c r="D179" s="3" t="s">
        <v>110</v>
      </c>
      <c r="E179" s="3" t="s">
        <v>111</v>
      </c>
      <c r="F179" s="3" t="s">
        <v>86</v>
      </c>
      <c r="G179" s="3" t="s">
        <v>118</v>
      </c>
      <c r="H179" s="3" t="s">
        <v>237</v>
      </c>
      <c r="I179" s="3" t="s">
        <v>123</v>
      </c>
      <c r="J179" s="4" t="n">
        <v>11.9</v>
      </c>
      <c r="K179" s="3" t="s">
        <v>31</v>
      </c>
      <c r="L179" s="3" t="s">
        <v>90</v>
      </c>
      <c r="M179" s="3" t="n">
        <v>300</v>
      </c>
      <c r="N179" s="3" t="n">
        <v>9</v>
      </c>
      <c r="O179" s="3" t="s">
        <v>33</v>
      </c>
      <c r="P179" s="3" t="s">
        <v>92</v>
      </c>
      <c r="Q179" s="3" t="s">
        <v>48</v>
      </c>
      <c r="R179" s="3" t="s">
        <v>144</v>
      </c>
      <c r="S179" s="5" t="n">
        <v>46219</v>
      </c>
      <c r="T179" s="5" t="n">
        <v>46230</v>
      </c>
      <c r="U179" s="3"/>
      <c r="V179" s="3" t="n">
        <f aca="false">COUNTIFS(Colours!$A$2:$A$742,$A179,Colours!$D$2:$D$742,"Ordered")</f>
        <v>3</v>
      </c>
    </row>
    <row r="180" customFormat="false" ht="15" hidden="false" customHeight="false" outlineLevel="0" collapsed="false">
      <c r="A180" s="3" t="s">
        <v>445</v>
      </c>
      <c r="B180" s="3" t="s">
        <v>83</v>
      </c>
      <c r="C180" s="3" t="s">
        <v>360</v>
      </c>
      <c r="D180" s="3" t="s">
        <v>84</v>
      </c>
      <c r="E180" s="3" t="s">
        <v>85</v>
      </c>
      <c r="F180" s="3" t="s">
        <v>86</v>
      </c>
      <c r="G180" s="3" t="s">
        <v>127</v>
      </c>
      <c r="H180" s="3" t="s">
        <v>112</v>
      </c>
      <c r="I180" s="3" t="s">
        <v>113</v>
      </c>
      <c r="J180" s="4" t="n">
        <v>11.75</v>
      </c>
      <c r="K180" s="3" t="s">
        <v>31</v>
      </c>
      <c r="L180" s="3" t="s">
        <v>90</v>
      </c>
      <c r="M180" s="3" t="n">
        <v>500</v>
      </c>
      <c r="N180" s="3" t="n">
        <v>3</v>
      </c>
      <c r="O180" s="3" t="s">
        <v>91</v>
      </c>
      <c r="P180" s="3"/>
      <c r="Q180" s="3" t="s">
        <v>68</v>
      </c>
      <c r="R180" s="3" t="s">
        <v>49</v>
      </c>
      <c r="S180" s="5" t="n">
        <v>46194</v>
      </c>
      <c r="T180" s="5" t="n">
        <v>46308</v>
      </c>
      <c r="U180" s="3"/>
      <c r="V180" s="3" t="n">
        <f aca="false">COUNTIFS(Colours!$A$2:$A$742,$A180,Colours!$D$2:$D$742,"Ordered")</f>
        <v>1</v>
      </c>
    </row>
    <row r="181" customFormat="false" ht="15" hidden="false" customHeight="false" outlineLevel="0" collapsed="false">
      <c r="A181" s="3" t="s">
        <v>446</v>
      </c>
      <c r="B181" s="3" t="s">
        <v>109</v>
      </c>
      <c r="C181" s="3" t="s">
        <v>360</v>
      </c>
      <c r="D181" s="3" t="s">
        <v>84</v>
      </c>
      <c r="E181" s="3" t="s">
        <v>85</v>
      </c>
      <c r="F181" s="3" t="s">
        <v>86</v>
      </c>
      <c r="G181" s="3" t="s">
        <v>127</v>
      </c>
      <c r="H181" s="3"/>
      <c r="I181" s="3" t="s">
        <v>123</v>
      </c>
      <c r="J181" s="4" t="n">
        <v>12.55</v>
      </c>
      <c r="K181" s="3" t="s">
        <v>31</v>
      </c>
      <c r="L181" s="3" t="s">
        <v>90</v>
      </c>
      <c r="M181" s="3" t="n">
        <v>300</v>
      </c>
      <c r="N181" s="3"/>
      <c r="O181" s="3" t="s">
        <v>91</v>
      </c>
      <c r="P181" s="3" t="s">
        <v>128</v>
      </c>
      <c r="Q181" s="3" t="s">
        <v>68</v>
      </c>
      <c r="R181" s="3" t="s">
        <v>36</v>
      </c>
      <c r="S181" s="5" t="n">
        <v>46233</v>
      </c>
      <c r="T181" s="5" t="n">
        <v>46311</v>
      </c>
      <c r="U181" s="3"/>
      <c r="V181" s="3" t="n">
        <f aca="false">COUNTIFS(Colours!$A$2:$A$742,$A181,Colours!$D$2:$D$742,"Ordered")</f>
        <v>1</v>
      </c>
    </row>
    <row r="182" customFormat="false" ht="15" hidden="false" customHeight="false" outlineLevel="0" collapsed="false">
      <c r="A182" s="3" t="s">
        <v>447</v>
      </c>
      <c r="B182" s="3" t="s">
        <v>357</v>
      </c>
      <c r="C182" s="3" t="s">
        <v>360</v>
      </c>
      <c r="D182" s="3" t="s">
        <v>52</v>
      </c>
      <c r="E182" s="3" t="s">
        <v>53</v>
      </c>
      <c r="F182" s="3" t="s">
        <v>64</v>
      </c>
      <c r="G182" s="3" t="s">
        <v>185</v>
      </c>
      <c r="H182" s="3" t="s">
        <v>448</v>
      </c>
      <c r="I182" s="3" t="s">
        <v>45</v>
      </c>
      <c r="J182" s="4" t="n">
        <v>36.24</v>
      </c>
      <c r="K182" s="3" t="s">
        <v>31</v>
      </c>
      <c r="L182" s="3" t="s">
        <v>32</v>
      </c>
      <c r="M182" s="3" t="n">
        <v>20</v>
      </c>
      <c r="N182" s="3" t="s">
        <v>222</v>
      </c>
      <c r="O182" s="3" t="s">
        <v>33</v>
      </c>
      <c r="P182" s="3" t="s">
        <v>152</v>
      </c>
      <c r="Q182" s="3" t="s">
        <v>48</v>
      </c>
      <c r="R182" s="3" t="s">
        <v>36</v>
      </c>
      <c r="S182" s="5" t="n">
        <v>46199</v>
      </c>
      <c r="T182" s="5" t="n">
        <v>46311</v>
      </c>
      <c r="U182" s="3" t="s">
        <v>305</v>
      </c>
      <c r="V182" s="3" t="n">
        <f aca="false">COUNTIFS(Colours!$A$2:$A$742,$A182,Colours!$D$2:$D$742,"Ordered")</f>
        <v>2</v>
      </c>
    </row>
    <row r="183" customFormat="false" ht="15" hidden="false" customHeight="false" outlineLevel="0" collapsed="false">
      <c r="A183" s="3" t="s">
        <v>449</v>
      </c>
      <c r="B183" s="3" t="s">
        <v>189</v>
      </c>
      <c r="C183" s="3" t="s">
        <v>360</v>
      </c>
      <c r="D183" s="3" t="s">
        <v>25</v>
      </c>
      <c r="E183" s="3" t="s">
        <v>26</v>
      </c>
      <c r="F183" s="3" t="s">
        <v>99</v>
      </c>
      <c r="G183" s="3" t="s">
        <v>160</v>
      </c>
      <c r="H183" s="3"/>
      <c r="I183" s="3"/>
      <c r="J183" s="4"/>
      <c r="K183" s="3" t="s">
        <v>31</v>
      </c>
      <c r="L183" s="3" t="s">
        <v>32</v>
      </c>
      <c r="M183" s="3" t="n">
        <v>100</v>
      </c>
      <c r="N183" s="3" t="n">
        <v>8</v>
      </c>
      <c r="O183" s="3" t="s">
        <v>33</v>
      </c>
      <c r="P183" s="3" t="s">
        <v>103</v>
      </c>
      <c r="Q183" s="3" t="s">
        <v>48</v>
      </c>
      <c r="R183" s="3" t="s">
        <v>80</v>
      </c>
      <c r="S183" s="5" t="n">
        <v>46228</v>
      </c>
      <c r="T183" s="5" t="n">
        <v>46242</v>
      </c>
      <c r="U183" s="3"/>
      <c r="V183" s="3" t="n">
        <f aca="false">COUNTIFS(Colours!$A$2:$A$742,$A183,Colours!$D$2:$D$742,"Ordered")</f>
        <v>1</v>
      </c>
    </row>
    <row r="184" customFormat="false" ht="15" hidden="false" customHeight="false" outlineLevel="0" collapsed="false">
      <c r="A184" s="3" t="s">
        <v>450</v>
      </c>
      <c r="B184" s="3" t="s">
        <v>154</v>
      </c>
      <c r="C184" s="3" t="s">
        <v>360</v>
      </c>
      <c r="D184" s="3" t="s">
        <v>40</v>
      </c>
      <c r="E184" s="3" t="s">
        <v>41</v>
      </c>
      <c r="F184" s="3" t="s">
        <v>54</v>
      </c>
      <c r="G184" s="3" t="s">
        <v>55</v>
      </c>
      <c r="H184" s="3" t="s">
        <v>451</v>
      </c>
      <c r="I184" s="3" t="s">
        <v>198</v>
      </c>
      <c r="J184" s="4"/>
      <c r="K184" s="3" t="s">
        <v>31</v>
      </c>
      <c r="L184" s="3" t="s">
        <v>32</v>
      </c>
      <c r="M184" s="3"/>
      <c r="N184" s="3" t="n">
        <v>7</v>
      </c>
      <c r="O184" s="3" t="s">
        <v>46</v>
      </c>
      <c r="P184" s="3"/>
      <c r="Q184" s="3" t="s">
        <v>48</v>
      </c>
      <c r="R184" s="3" t="s">
        <v>49</v>
      </c>
      <c r="S184" s="5" t="n">
        <v>46221</v>
      </c>
      <c r="T184" s="5" t="n">
        <v>46233</v>
      </c>
      <c r="U184" s="3"/>
      <c r="V184" s="3" t="n">
        <f aca="false">COUNTIFS(Colours!$A$2:$A$742,$A184,Colours!$D$2:$D$742,"Ordered")</f>
        <v>1</v>
      </c>
    </row>
    <row r="185" customFormat="false" ht="15" hidden="false" customHeight="false" outlineLevel="0" collapsed="false">
      <c r="A185" s="3" t="s">
        <v>452</v>
      </c>
      <c r="B185" s="3" t="s">
        <v>137</v>
      </c>
      <c r="C185" s="3" t="s">
        <v>360</v>
      </c>
      <c r="D185" s="3" t="s">
        <v>116</v>
      </c>
      <c r="E185" s="3" t="s">
        <v>117</v>
      </c>
      <c r="F185" s="3" t="s">
        <v>86</v>
      </c>
      <c r="G185" s="3" t="s">
        <v>146</v>
      </c>
      <c r="H185" s="3" t="s">
        <v>122</v>
      </c>
      <c r="I185" s="3"/>
      <c r="J185" s="4"/>
      <c r="K185" s="3" t="s">
        <v>31</v>
      </c>
      <c r="L185" s="3" t="s">
        <v>90</v>
      </c>
      <c r="M185" s="3" t="n">
        <v>300</v>
      </c>
      <c r="N185" s="3" t="n">
        <v>4</v>
      </c>
      <c r="O185" s="3" t="s">
        <v>91</v>
      </c>
      <c r="P185" s="3" t="s">
        <v>92</v>
      </c>
      <c r="Q185" s="3" t="s">
        <v>35</v>
      </c>
      <c r="R185" s="3" t="s">
        <v>36</v>
      </c>
      <c r="S185" s="5" t="n">
        <v>46211</v>
      </c>
      <c r="T185" s="5" t="n">
        <v>46266</v>
      </c>
      <c r="U185" s="3"/>
      <c r="V185" s="3" t="n">
        <f aca="false">COUNTIFS(Colours!$A$2:$A$742,$A185,Colours!$D$2:$D$742,"Ordered")</f>
        <v>3</v>
      </c>
    </row>
    <row r="186" customFormat="false" ht="15" hidden="false" customHeight="false" outlineLevel="0" collapsed="false">
      <c r="A186" s="3" t="s">
        <v>453</v>
      </c>
      <c r="B186" s="3" t="s">
        <v>83</v>
      </c>
      <c r="C186" s="3" t="s">
        <v>360</v>
      </c>
      <c r="D186" s="3" t="s">
        <v>110</v>
      </c>
      <c r="E186" s="3" t="s">
        <v>111</v>
      </c>
      <c r="F186" s="3" t="s">
        <v>86</v>
      </c>
      <c r="G186" s="3" t="s">
        <v>87</v>
      </c>
      <c r="H186" s="3" t="s">
        <v>143</v>
      </c>
      <c r="I186" s="3" t="s">
        <v>113</v>
      </c>
      <c r="J186" s="4" t="n">
        <v>10.28</v>
      </c>
      <c r="K186" s="3" t="s">
        <v>31</v>
      </c>
      <c r="L186" s="3" t="s">
        <v>90</v>
      </c>
      <c r="M186" s="3" t="n">
        <v>200</v>
      </c>
      <c r="N186" s="3" t="s">
        <v>222</v>
      </c>
      <c r="O186" s="3" t="s">
        <v>33</v>
      </c>
      <c r="P186" s="3" t="s">
        <v>128</v>
      </c>
      <c r="Q186" s="3" t="s">
        <v>48</v>
      </c>
      <c r="R186" s="3" t="s">
        <v>58</v>
      </c>
      <c r="S186" s="5" t="n">
        <v>46196</v>
      </c>
      <c r="T186" s="5" t="n">
        <v>46311</v>
      </c>
      <c r="U186" s="3" t="s">
        <v>129</v>
      </c>
      <c r="V186" s="3" t="n">
        <f aca="false">COUNTIFS(Colours!$A$2:$A$742,$A186,Colours!$D$2:$D$742,"Ordered")</f>
        <v>1</v>
      </c>
    </row>
    <row r="187" customFormat="false" ht="15" hidden="false" customHeight="false" outlineLevel="0" collapsed="false">
      <c r="A187" s="3" t="s">
        <v>454</v>
      </c>
      <c r="B187" s="3" t="s">
        <v>115</v>
      </c>
      <c r="C187" s="3" t="s">
        <v>360</v>
      </c>
      <c r="D187" s="3" t="s">
        <v>110</v>
      </c>
      <c r="E187" s="3" t="s">
        <v>111</v>
      </c>
      <c r="F187" s="3" t="s">
        <v>86</v>
      </c>
      <c r="G187" s="3" t="s">
        <v>118</v>
      </c>
      <c r="H187" s="3"/>
      <c r="I187" s="3" t="s">
        <v>120</v>
      </c>
      <c r="J187" s="4" t="n">
        <v>10.51</v>
      </c>
      <c r="K187" s="3" t="s">
        <v>31</v>
      </c>
      <c r="L187" s="3" t="s">
        <v>90</v>
      </c>
      <c r="M187" s="3" t="n">
        <v>200</v>
      </c>
      <c r="N187" s="3" t="n">
        <v>13</v>
      </c>
      <c r="O187" s="3" t="s">
        <v>33</v>
      </c>
      <c r="P187" s="3"/>
      <c r="Q187" s="3" t="s">
        <v>48</v>
      </c>
      <c r="R187" s="3" t="s">
        <v>49</v>
      </c>
      <c r="S187" s="5" t="n">
        <v>46177</v>
      </c>
      <c r="T187" s="5" t="n">
        <v>46224</v>
      </c>
      <c r="U187" s="3"/>
      <c r="V187" s="3" t="n">
        <f aca="false">COUNTIFS(Colours!$A$2:$A$742,$A187,Colours!$D$2:$D$742,"Ordered")</f>
        <v>2</v>
      </c>
    </row>
    <row r="188" customFormat="false" ht="15" hidden="false" customHeight="false" outlineLevel="0" collapsed="false">
      <c r="A188" s="3" t="s">
        <v>455</v>
      </c>
      <c r="B188" s="3" t="s">
        <v>126</v>
      </c>
      <c r="C188" s="3" t="s">
        <v>360</v>
      </c>
      <c r="D188" s="3" t="s">
        <v>84</v>
      </c>
      <c r="E188" s="3" t="s">
        <v>85</v>
      </c>
      <c r="F188" s="3" t="s">
        <v>86</v>
      </c>
      <c r="G188" s="3" t="s">
        <v>127</v>
      </c>
      <c r="H188" s="3" t="s">
        <v>122</v>
      </c>
      <c r="I188" s="3"/>
      <c r="J188" s="4" t="s">
        <v>222</v>
      </c>
      <c r="K188" s="3" t="s">
        <v>31</v>
      </c>
      <c r="L188" s="3" t="s">
        <v>90</v>
      </c>
      <c r="M188" s="3" t="n">
        <v>200</v>
      </c>
      <c r="N188" s="3" t="n">
        <v>6</v>
      </c>
      <c r="O188" s="3" t="s">
        <v>91</v>
      </c>
      <c r="P188" s="3" t="s">
        <v>92</v>
      </c>
      <c r="Q188" s="3" t="s">
        <v>35</v>
      </c>
      <c r="R188" s="3" t="s">
        <v>144</v>
      </c>
      <c r="S188" s="5" t="n">
        <v>46202</v>
      </c>
      <c r="T188" s="5" t="n">
        <v>46254</v>
      </c>
      <c r="U188" s="3" t="s">
        <v>81</v>
      </c>
      <c r="V188" s="3" t="n">
        <f aca="false">COUNTIFS(Colours!$A$2:$A$742,$A188,Colours!$D$2:$D$742,"Ordered")</f>
        <v>1</v>
      </c>
    </row>
    <row r="189" customFormat="false" ht="15" hidden="false" customHeight="false" outlineLevel="0" collapsed="false">
      <c r="A189" s="3" t="s">
        <v>456</v>
      </c>
      <c r="B189" s="3" t="s">
        <v>70</v>
      </c>
      <c r="C189" s="3" t="s">
        <v>360</v>
      </c>
      <c r="D189" s="3" t="s">
        <v>71</v>
      </c>
      <c r="E189" s="3" t="s">
        <v>72</v>
      </c>
      <c r="F189" s="3" t="s">
        <v>73</v>
      </c>
      <c r="G189" s="3" t="s">
        <v>106</v>
      </c>
      <c r="H189" s="3" t="s">
        <v>457</v>
      </c>
      <c r="I189" s="3" t="s">
        <v>45</v>
      </c>
      <c r="J189" s="4" t="n">
        <v>13.19</v>
      </c>
      <c r="K189" s="3" t="s">
        <v>31</v>
      </c>
      <c r="L189" s="3" t="s">
        <v>32</v>
      </c>
      <c r="M189" s="3"/>
      <c r="N189" s="3"/>
      <c r="O189" s="3" t="s">
        <v>33</v>
      </c>
      <c r="P189" s="3" t="s">
        <v>34</v>
      </c>
      <c r="Q189" s="3" t="s">
        <v>48</v>
      </c>
      <c r="R189" s="3" t="s">
        <v>80</v>
      </c>
      <c r="S189" s="5" t="n">
        <v>46198</v>
      </c>
      <c r="T189" s="5" t="n">
        <v>46311</v>
      </c>
      <c r="U189" s="3"/>
      <c r="V189" s="3" t="n">
        <f aca="false">COUNTIFS(Colours!$A$2:$A$742,$A189,Colours!$D$2:$D$742,"Ordered")</f>
        <v>1</v>
      </c>
    </row>
    <row r="190" customFormat="false" ht="15" hidden="false" customHeight="false" outlineLevel="0" collapsed="false">
      <c r="A190" s="3" t="s">
        <v>458</v>
      </c>
      <c r="B190" s="3" t="s">
        <v>196</v>
      </c>
      <c r="C190" s="3" t="s">
        <v>360</v>
      </c>
      <c r="D190" s="3" t="s">
        <v>62</v>
      </c>
      <c r="E190" s="3" t="s">
        <v>63</v>
      </c>
      <c r="F190" s="3" t="s">
        <v>64</v>
      </c>
      <c r="G190" s="3" t="s">
        <v>185</v>
      </c>
      <c r="H190" s="3"/>
      <c r="I190" s="3" t="s">
        <v>45</v>
      </c>
      <c r="J190" s="4" t="n">
        <v>35.05</v>
      </c>
      <c r="K190" s="3" t="s">
        <v>31</v>
      </c>
      <c r="L190" s="3" t="s">
        <v>32</v>
      </c>
      <c r="M190" s="3" t="n">
        <v>50</v>
      </c>
      <c r="N190" s="3" t="n">
        <v>8</v>
      </c>
      <c r="O190" s="3" t="s">
        <v>67</v>
      </c>
      <c r="P190" s="3" t="s">
        <v>34</v>
      </c>
      <c r="Q190" s="3" t="s">
        <v>68</v>
      </c>
      <c r="R190" s="3" t="s">
        <v>36</v>
      </c>
      <c r="S190" s="5" t="n">
        <v>46222</v>
      </c>
      <c r="T190" s="5" t="n">
        <v>46311</v>
      </c>
      <c r="U190" s="3"/>
      <c r="V190" s="3" t="n">
        <f aca="false">COUNTIFS(Colours!$A$2:$A$742,$A190,Colours!$D$2:$D$742,"Ordered")</f>
        <v>1</v>
      </c>
    </row>
    <row r="191" customFormat="false" ht="15" hidden="false" customHeight="false" outlineLevel="0" collapsed="false">
      <c r="A191" s="3" t="s">
        <v>459</v>
      </c>
      <c r="B191" s="3" t="s">
        <v>83</v>
      </c>
      <c r="C191" s="3" t="s">
        <v>360</v>
      </c>
      <c r="D191" s="3" t="s">
        <v>110</v>
      </c>
      <c r="E191" s="3" t="s">
        <v>111</v>
      </c>
      <c r="F191" s="3" t="s">
        <v>86</v>
      </c>
      <c r="G191" s="3" t="s">
        <v>87</v>
      </c>
      <c r="H191" s="3" t="s">
        <v>237</v>
      </c>
      <c r="I191" s="3" t="s">
        <v>123</v>
      </c>
      <c r="J191" s="4" t="n">
        <v>8.59</v>
      </c>
      <c r="K191" s="3" t="s">
        <v>31</v>
      </c>
      <c r="L191" s="3" t="s">
        <v>90</v>
      </c>
      <c r="M191" s="3" t="n">
        <v>300</v>
      </c>
      <c r="N191" s="3" t="n">
        <v>12</v>
      </c>
      <c r="O191" s="3" t="s">
        <v>33</v>
      </c>
      <c r="P191" s="3" t="s">
        <v>92</v>
      </c>
      <c r="Q191" s="3" t="s">
        <v>48</v>
      </c>
      <c r="R191" s="3" t="s">
        <v>49</v>
      </c>
      <c r="S191" s="5" t="n">
        <v>46199</v>
      </c>
      <c r="T191" s="5" t="n">
        <v>46311</v>
      </c>
      <c r="U191" s="3"/>
      <c r="V191" s="3" t="n">
        <f aca="false">COUNTIFS(Colours!$A$2:$A$742,$A191,Colours!$D$2:$D$742,"Ordered")</f>
        <v>1</v>
      </c>
    </row>
    <row r="192" customFormat="false" ht="15" hidden="false" customHeight="false" outlineLevel="0" collapsed="false">
      <c r="A192" s="3" t="s">
        <v>460</v>
      </c>
      <c r="B192" s="3" t="s">
        <v>249</v>
      </c>
      <c r="C192" s="3" t="s">
        <v>360</v>
      </c>
      <c r="D192" s="3" t="s">
        <v>155</v>
      </c>
      <c r="E192" s="3" t="s">
        <v>156</v>
      </c>
      <c r="F192" s="3" t="s">
        <v>54</v>
      </c>
      <c r="G192" s="3" t="s">
        <v>160</v>
      </c>
      <c r="H192" s="3"/>
      <c r="I192" s="3" t="s">
        <v>96</v>
      </c>
      <c r="J192" s="4" t="n">
        <v>24.75</v>
      </c>
      <c r="K192" s="3" t="s">
        <v>31</v>
      </c>
      <c r="L192" s="3"/>
      <c r="M192" s="3" t="n">
        <v>300</v>
      </c>
      <c r="N192" s="3" t="n">
        <v>3</v>
      </c>
      <c r="O192" s="3" t="s">
        <v>91</v>
      </c>
      <c r="P192" s="3"/>
      <c r="Q192" s="3" t="s">
        <v>48</v>
      </c>
      <c r="R192" s="3" t="s">
        <v>80</v>
      </c>
      <c r="S192" s="5" t="n">
        <v>46184</v>
      </c>
      <c r="T192" s="5" t="n">
        <v>46191</v>
      </c>
      <c r="U192" s="3"/>
      <c r="V192" s="3" t="n">
        <f aca="false">COUNTIFS(Colours!$A$2:$A$742,$A192,Colours!$D$2:$D$742,"Ordered")</f>
        <v>2</v>
      </c>
    </row>
    <row r="193" customFormat="false" ht="15" hidden="false" customHeight="false" outlineLevel="0" collapsed="false">
      <c r="A193" s="3" t="s">
        <v>461</v>
      </c>
      <c r="B193" s="3" t="s">
        <v>51</v>
      </c>
      <c r="C193" s="3" t="s">
        <v>360</v>
      </c>
      <c r="D193" s="3" t="s">
        <v>155</v>
      </c>
      <c r="E193" s="3" t="s">
        <v>156</v>
      </c>
      <c r="F193" s="3" t="s">
        <v>54</v>
      </c>
      <c r="G193" s="3" t="s">
        <v>55</v>
      </c>
      <c r="H193" s="3"/>
      <c r="I193" s="3" t="s">
        <v>45</v>
      </c>
      <c r="J193" s="4" t="s">
        <v>222</v>
      </c>
      <c r="K193" s="3" t="s">
        <v>31</v>
      </c>
      <c r="L193" s="3" t="s">
        <v>32</v>
      </c>
      <c r="M193" s="3"/>
      <c r="N193" s="3" t="n">
        <v>8</v>
      </c>
      <c r="O193" s="3" t="s">
        <v>91</v>
      </c>
      <c r="P193" s="3"/>
      <c r="Q193" s="3" t="s">
        <v>68</v>
      </c>
      <c r="R193" s="3" t="s">
        <v>49</v>
      </c>
      <c r="S193" s="5" t="n">
        <v>46201</v>
      </c>
      <c r="T193" s="5" t="n">
        <v>46214</v>
      </c>
      <c r="U193" s="3"/>
      <c r="V193" s="3" t="n">
        <f aca="false">COUNTIFS(Colours!$A$2:$A$742,$A193,Colours!$D$2:$D$742,"Ordered")</f>
        <v>1</v>
      </c>
    </row>
    <row r="194" customFormat="false" ht="15" hidden="false" customHeight="false" outlineLevel="0" collapsed="false">
      <c r="A194" s="3" t="s">
        <v>462</v>
      </c>
      <c r="B194" s="3"/>
      <c r="C194" s="3" t="s">
        <v>360</v>
      </c>
      <c r="D194" s="3" t="s">
        <v>172</v>
      </c>
      <c r="E194" s="3" t="s">
        <v>173</v>
      </c>
      <c r="F194" s="3" t="s">
        <v>174</v>
      </c>
      <c r="G194" s="3" t="s">
        <v>210</v>
      </c>
      <c r="H194" s="3" t="s">
        <v>176</v>
      </c>
      <c r="I194" s="3"/>
      <c r="J194" s="4" t="n">
        <v>63.56</v>
      </c>
      <c r="K194" s="3" t="s">
        <v>31</v>
      </c>
      <c r="L194" s="3" t="s">
        <v>178</v>
      </c>
      <c r="M194" s="3" t="n">
        <v>50</v>
      </c>
      <c r="N194" s="3" t="n">
        <v>8</v>
      </c>
      <c r="O194" s="3" t="s">
        <v>33</v>
      </c>
      <c r="P194" s="3"/>
      <c r="Q194" s="3" t="s">
        <v>48</v>
      </c>
      <c r="R194" s="3" t="s">
        <v>58</v>
      </c>
      <c r="S194" s="5" t="n">
        <v>46229</v>
      </c>
      <c r="T194" s="5" t="n">
        <v>46281</v>
      </c>
      <c r="U194" s="3"/>
      <c r="V194" s="3" t="n">
        <f aca="false">COUNTIFS(Colours!$A$2:$A$742,$A194,Colours!$D$2:$D$742,"Ordered")</f>
        <v>1</v>
      </c>
    </row>
    <row r="195" customFormat="false" ht="15" hidden="false" customHeight="false" outlineLevel="0" collapsed="false">
      <c r="A195" s="3" t="s">
        <v>463</v>
      </c>
      <c r="B195" s="3" t="s">
        <v>109</v>
      </c>
      <c r="C195" s="3" t="s">
        <v>360</v>
      </c>
      <c r="D195" s="3" t="s">
        <v>84</v>
      </c>
      <c r="E195" s="3" t="s">
        <v>85</v>
      </c>
      <c r="F195" s="3" t="s">
        <v>86</v>
      </c>
      <c r="G195" s="3" t="s">
        <v>87</v>
      </c>
      <c r="H195" s="3" t="s">
        <v>143</v>
      </c>
      <c r="I195" s="3" t="s">
        <v>123</v>
      </c>
      <c r="J195" s="4" t="n">
        <v>12.61</v>
      </c>
      <c r="K195" s="3" t="s">
        <v>31</v>
      </c>
      <c r="L195" s="3" t="s">
        <v>90</v>
      </c>
      <c r="M195" s="3" t="n">
        <v>200</v>
      </c>
      <c r="N195" s="3" t="n">
        <v>12</v>
      </c>
      <c r="O195" s="3" t="s">
        <v>91</v>
      </c>
      <c r="P195" s="3" t="s">
        <v>92</v>
      </c>
      <c r="Q195" s="3" t="s">
        <v>35</v>
      </c>
      <c r="R195" s="3" t="s">
        <v>80</v>
      </c>
      <c r="S195" s="5" t="n">
        <v>46198</v>
      </c>
      <c r="T195" s="5" t="n">
        <v>46311</v>
      </c>
      <c r="U195" s="3" t="s">
        <v>37</v>
      </c>
      <c r="V195" s="3" t="n">
        <f aca="false">COUNTIFS(Colours!$A$2:$A$742,$A195,Colours!$D$2:$D$742,"Ordered")</f>
        <v>0</v>
      </c>
    </row>
    <row r="196" customFormat="false" ht="15" hidden="false" customHeight="false" outlineLevel="0" collapsed="false">
      <c r="A196" s="3" t="s">
        <v>464</v>
      </c>
      <c r="B196" s="3" t="s">
        <v>204</v>
      </c>
      <c r="C196" s="3" t="s">
        <v>360</v>
      </c>
      <c r="D196" s="3" t="s">
        <v>25</v>
      </c>
      <c r="E196" s="3" t="s">
        <v>26</v>
      </c>
      <c r="F196" s="3" t="s">
        <v>99</v>
      </c>
      <c r="G196" s="3" t="s">
        <v>149</v>
      </c>
      <c r="H196" s="3"/>
      <c r="I196" s="3" t="s">
        <v>206</v>
      </c>
      <c r="J196" s="4" t="n">
        <v>73.06</v>
      </c>
      <c r="K196" s="3" t="s">
        <v>31</v>
      </c>
      <c r="L196" s="3" t="s">
        <v>32</v>
      </c>
      <c r="M196" s="3" t="n">
        <v>100</v>
      </c>
      <c r="N196" s="3" t="n">
        <v>5</v>
      </c>
      <c r="O196" s="3" t="s">
        <v>33</v>
      </c>
      <c r="P196" s="3" t="s">
        <v>103</v>
      </c>
      <c r="Q196" s="3" t="s">
        <v>48</v>
      </c>
      <c r="R196" s="3" t="s">
        <v>36</v>
      </c>
      <c r="S196" s="5" t="n">
        <v>46195</v>
      </c>
      <c r="T196" s="5" t="n">
        <v>46289</v>
      </c>
      <c r="U196" s="3"/>
      <c r="V196" s="3" t="n">
        <f aca="false">COUNTIFS(Colours!$A$2:$A$742,$A196,Colours!$D$2:$D$742,"Ordered")</f>
        <v>5</v>
      </c>
    </row>
    <row r="197" customFormat="false" ht="15" hidden="false" customHeight="false" outlineLevel="0" collapsed="false">
      <c r="A197" s="3" t="s">
        <v>465</v>
      </c>
      <c r="B197" s="3" t="s">
        <v>362</v>
      </c>
      <c r="C197" s="3" t="s">
        <v>360</v>
      </c>
      <c r="D197" s="3" t="s">
        <v>62</v>
      </c>
      <c r="E197" s="3" t="s">
        <v>63</v>
      </c>
      <c r="F197" s="3" t="s">
        <v>64</v>
      </c>
      <c r="G197" s="3" t="s">
        <v>185</v>
      </c>
      <c r="H197" s="3" t="s">
        <v>466</v>
      </c>
      <c r="I197" s="3" t="s">
        <v>467</v>
      </c>
      <c r="J197" s="4" t="n">
        <v>39.31</v>
      </c>
      <c r="K197" s="3" t="s">
        <v>31</v>
      </c>
      <c r="L197" s="3" t="s">
        <v>32</v>
      </c>
      <c r="M197" s="3" t="n">
        <v>20</v>
      </c>
      <c r="N197" s="3" t="n">
        <v>11</v>
      </c>
      <c r="O197" s="3" t="s">
        <v>67</v>
      </c>
      <c r="P197" s="3" t="s">
        <v>34</v>
      </c>
      <c r="Q197" s="3" t="s">
        <v>35</v>
      </c>
      <c r="R197" s="3" t="s">
        <v>144</v>
      </c>
      <c r="S197" s="5" t="n">
        <v>46185</v>
      </c>
      <c r="T197" s="5" t="n">
        <v>46299</v>
      </c>
      <c r="U197" s="3"/>
      <c r="V197" s="3" t="n">
        <f aca="false">COUNTIFS(Colours!$A$2:$A$742,$A197,Colours!$D$2:$D$742,"Ordered")</f>
        <v>2</v>
      </c>
    </row>
    <row r="198" customFormat="false" ht="15" hidden="false" customHeight="false" outlineLevel="0" collapsed="false">
      <c r="A198" s="3" t="s">
        <v>468</v>
      </c>
      <c r="B198" s="3" t="s">
        <v>61</v>
      </c>
      <c r="C198" s="3" t="s">
        <v>360</v>
      </c>
      <c r="D198" s="3" t="s">
        <v>52</v>
      </c>
      <c r="E198" s="3" t="s">
        <v>53</v>
      </c>
      <c r="F198" s="3" t="s">
        <v>64</v>
      </c>
      <c r="G198" s="3" t="s">
        <v>185</v>
      </c>
      <c r="H198" s="3" t="s">
        <v>66</v>
      </c>
      <c r="I198" s="3"/>
      <c r="J198" s="4" t="n">
        <v>49</v>
      </c>
      <c r="K198" s="3" t="s">
        <v>31</v>
      </c>
      <c r="L198" s="3" t="s">
        <v>32</v>
      </c>
      <c r="M198" s="3" t="n">
        <v>150</v>
      </c>
      <c r="N198" s="3"/>
      <c r="O198" s="3" t="s">
        <v>33</v>
      </c>
      <c r="P198" s="3"/>
      <c r="Q198" s="3" t="s">
        <v>48</v>
      </c>
      <c r="R198" s="3" t="s">
        <v>49</v>
      </c>
      <c r="S198" s="5" t="n">
        <v>46231</v>
      </c>
      <c r="T198" s="5" t="n">
        <v>46239</v>
      </c>
      <c r="U198" s="3"/>
      <c r="V198" s="3" t="n">
        <f aca="false">COUNTIFS(Colours!$A$2:$A$742,$A198,Colours!$D$2:$D$742,"Ordered")</f>
        <v>2</v>
      </c>
    </row>
    <row r="199" customFormat="false" ht="15" hidden="false" customHeight="false" outlineLevel="0" collapsed="false">
      <c r="A199" s="3" t="s">
        <v>469</v>
      </c>
      <c r="B199" s="3" t="s">
        <v>105</v>
      </c>
      <c r="C199" s="3" t="s">
        <v>360</v>
      </c>
      <c r="D199" s="3" t="s">
        <v>71</v>
      </c>
      <c r="E199" s="3" t="s">
        <v>72</v>
      </c>
      <c r="F199" s="3" t="s">
        <v>73</v>
      </c>
      <c r="G199" s="3" t="s">
        <v>74</v>
      </c>
      <c r="H199" s="3" t="s">
        <v>470</v>
      </c>
      <c r="I199" s="3" t="s">
        <v>30</v>
      </c>
      <c r="J199" s="4" t="s">
        <v>124</v>
      </c>
      <c r="K199" s="3" t="s">
        <v>31</v>
      </c>
      <c r="L199" s="3" t="s">
        <v>32</v>
      </c>
      <c r="M199" s="3" t="s">
        <v>124</v>
      </c>
      <c r="N199" s="3"/>
      <c r="O199" s="3" t="s">
        <v>33</v>
      </c>
      <c r="P199" s="3" t="s">
        <v>76</v>
      </c>
      <c r="Q199" s="3" t="s">
        <v>48</v>
      </c>
      <c r="R199" s="3" t="s">
        <v>58</v>
      </c>
      <c r="S199" s="5" t="n">
        <v>46204</v>
      </c>
      <c r="T199" s="5" t="n">
        <v>46231</v>
      </c>
      <c r="U199" s="3"/>
      <c r="V199" s="3" t="n">
        <f aca="false">COUNTIFS(Colours!$A$2:$A$742,$A199,Colours!$D$2:$D$742,"Ordered")</f>
        <v>1</v>
      </c>
    </row>
    <row r="200" customFormat="false" ht="15" hidden="false" customHeight="false" outlineLevel="0" collapsed="false">
      <c r="A200" s="3" t="s">
        <v>471</v>
      </c>
      <c r="B200" s="3" t="s">
        <v>70</v>
      </c>
      <c r="C200" s="3" t="s">
        <v>360</v>
      </c>
      <c r="D200" s="3" t="s">
        <v>71</v>
      </c>
      <c r="E200" s="3" t="s">
        <v>72</v>
      </c>
      <c r="F200" s="3" t="s">
        <v>73</v>
      </c>
      <c r="G200" s="3" t="s">
        <v>106</v>
      </c>
      <c r="H200" s="3" t="s">
        <v>472</v>
      </c>
      <c r="I200" s="3"/>
      <c r="J200" s="4" t="n">
        <v>29.39</v>
      </c>
      <c r="K200" s="3" t="s">
        <v>31</v>
      </c>
      <c r="L200" s="3" t="s">
        <v>32</v>
      </c>
      <c r="M200" s="3" t="n">
        <v>50</v>
      </c>
      <c r="N200" s="3" t="n">
        <v>11</v>
      </c>
      <c r="O200" s="3" t="s">
        <v>33</v>
      </c>
      <c r="P200" s="3" t="s">
        <v>34</v>
      </c>
      <c r="Q200" s="3" t="s">
        <v>48</v>
      </c>
      <c r="R200" s="3" t="s">
        <v>36</v>
      </c>
      <c r="S200" s="5" t="n">
        <v>46179</v>
      </c>
      <c r="T200" s="5" t="n">
        <v>46241</v>
      </c>
      <c r="U200" s="3"/>
      <c r="V200" s="3" t="n">
        <f aca="false">COUNTIFS(Colours!$A$2:$A$742,$A200,Colours!$D$2:$D$742,"Ordered")</f>
        <v>2</v>
      </c>
    </row>
    <row r="201" customFormat="false" ht="15" hidden="false" customHeight="false" outlineLevel="0" collapsed="false">
      <c r="A201" s="3" t="s">
        <v>473</v>
      </c>
      <c r="B201" s="3" t="s">
        <v>105</v>
      </c>
      <c r="C201" s="3" t="s">
        <v>360</v>
      </c>
      <c r="D201" s="3" t="s">
        <v>71</v>
      </c>
      <c r="E201" s="3" t="s">
        <v>72</v>
      </c>
      <c r="F201" s="3" t="s">
        <v>73</v>
      </c>
      <c r="G201" s="3" t="s">
        <v>74</v>
      </c>
      <c r="H201" s="3" t="s">
        <v>257</v>
      </c>
      <c r="I201" s="3" t="s">
        <v>30</v>
      </c>
      <c r="J201" s="4" t="n">
        <v>19.3</v>
      </c>
      <c r="K201" s="3" t="s">
        <v>31</v>
      </c>
      <c r="L201" s="3" t="s">
        <v>32</v>
      </c>
      <c r="M201" s="3" t="n">
        <v>150</v>
      </c>
      <c r="N201" s="3" t="n">
        <v>4</v>
      </c>
      <c r="O201" s="3" t="s">
        <v>33</v>
      </c>
      <c r="P201" s="3" t="s">
        <v>76</v>
      </c>
      <c r="Q201" s="3" t="s">
        <v>68</v>
      </c>
      <c r="R201" s="3" t="s">
        <v>36</v>
      </c>
      <c r="S201" s="5" t="n">
        <v>46220</v>
      </c>
      <c r="T201" s="5" t="n">
        <v>46232</v>
      </c>
      <c r="U201" s="3"/>
      <c r="V201" s="3" t="n">
        <f aca="false">COUNTIFS(Colours!$A$2:$A$742,$A201,Colours!$D$2:$D$742,"Ordered")</f>
        <v>3</v>
      </c>
    </row>
    <row r="202" customFormat="false" ht="15" hidden="false" customHeight="false" outlineLevel="0" collapsed="false">
      <c r="A202" s="3" t="s">
        <v>474</v>
      </c>
      <c r="B202" s="3" t="s">
        <v>256</v>
      </c>
      <c r="C202" s="3" t="s">
        <v>360</v>
      </c>
      <c r="D202" s="3" t="s">
        <v>62</v>
      </c>
      <c r="E202" s="3" t="s">
        <v>63</v>
      </c>
      <c r="F202" s="3" t="s">
        <v>42</v>
      </c>
      <c r="G202" s="3" t="s">
        <v>218</v>
      </c>
      <c r="H202" s="3" t="s">
        <v>475</v>
      </c>
      <c r="I202" s="3" t="s">
        <v>45</v>
      </c>
      <c r="J202" s="4" t="s">
        <v>124</v>
      </c>
      <c r="K202" s="3" t="s">
        <v>31</v>
      </c>
      <c r="L202" s="3" t="s">
        <v>32</v>
      </c>
      <c r="M202" s="3" t="s">
        <v>222</v>
      </c>
      <c r="N202" s="3" t="n">
        <v>12</v>
      </c>
      <c r="O202" s="3" t="s">
        <v>67</v>
      </c>
      <c r="P202" s="3" t="s">
        <v>298</v>
      </c>
      <c r="Q202" s="3" t="s">
        <v>48</v>
      </c>
      <c r="R202" s="3" t="s">
        <v>144</v>
      </c>
      <c r="S202" s="5" t="n">
        <v>46184</v>
      </c>
      <c r="T202" s="5" t="n">
        <v>46302</v>
      </c>
      <c r="U202" s="3"/>
      <c r="V202" s="3" t="n">
        <f aca="false">COUNTIFS(Colours!$A$2:$A$742,$A202,Colours!$D$2:$D$742,"Ordered")</f>
        <v>0</v>
      </c>
    </row>
    <row r="203" customFormat="false" ht="15" hidden="false" customHeight="false" outlineLevel="0" collapsed="false">
      <c r="A203" s="3" t="s">
        <v>476</v>
      </c>
      <c r="B203" s="3" t="s">
        <v>424</v>
      </c>
      <c r="C203" s="3" t="s">
        <v>360</v>
      </c>
      <c r="D203" s="3" t="s">
        <v>172</v>
      </c>
      <c r="E203" s="3" t="s">
        <v>173</v>
      </c>
      <c r="F203" s="3" t="s">
        <v>174</v>
      </c>
      <c r="G203" s="3" t="s">
        <v>210</v>
      </c>
      <c r="H203" s="3" t="s">
        <v>274</v>
      </c>
      <c r="I203" s="3" t="s">
        <v>177</v>
      </c>
      <c r="J203" s="4" t="n">
        <v>94.69</v>
      </c>
      <c r="K203" s="3" t="s">
        <v>31</v>
      </c>
      <c r="L203" s="3" t="s">
        <v>178</v>
      </c>
      <c r="M203" s="3" t="n">
        <v>20</v>
      </c>
      <c r="N203" s="3" t="n">
        <v>10</v>
      </c>
      <c r="O203" s="3" t="s">
        <v>33</v>
      </c>
      <c r="P203" s="3" t="s">
        <v>57</v>
      </c>
      <c r="Q203" s="3" t="s">
        <v>48</v>
      </c>
      <c r="R203" s="3" t="s">
        <v>36</v>
      </c>
      <c r="S203" s="5" t="n">
        <v>46221</v>
      </c>
      <c r="T203" s="5" t="n">
        <v>46226</v>
      </c>
      <c r="U203" s="3"/>
      <c r="V203" s="3" t="n">
        <f aca="false">COUNTIFS(Colours!$A$2:$A$742,$A203,Colours!$D$2:$D$742,"Ordered")</f>
        <v>1</v>
      </c>
    </row>
    <row r="204" customFormat="false" ht="15" hidden="false" customHeight="false" outlineLevel="0" collapsed="false">
      <c r="A204" s="3" t="s">
        <v>477</v>
      </c>
      <c r="B204" s="3" t="s">
        <v>162</v>
      </c>
      <c r="C204" s="3" t="s">
        <v>360</v>
      </c>
      <c r="D204" s="3" t="s">
        <v>84</v>
      </c>
      <c r="E204" s="3" t="s">
        <v>85</v>
      </c>
      <c r="F204" s="3" t="s">
        <v>86</v>
      </c>
      <c r="G204" s="3" t="s">
        <v>87</v>
      </c>
      <c r="H204" s="3" t="s">
        <v>88</v>
      </c>
      <c r="I204" s="3" t="s">
        <v>113</v>
      </c>
      <c r="J204" s="4" t="n">
        <v>7.78</v>
      </c>
      <c r="K204" s="3" t="s">
        <v>31</v>
      </c>
      <c r="L204" s="3" t="s">
        <v>90</v>
      </c>
      <c r="M204" s="3" t="n">
        <v>200</v>
      </c>
      <c r="N204" s="3" t="n">
        <v>13</v>
      </c>
      <c r="O204" s="3" t="s">
        <v>91</v>
      </c>
      <c r="P204" s="3" t="s">
        <v>128</v>
      </c>
      <c r="Q204" s="3" t="s">
        <v>35</v>
      </c>
      <c r="R204" s="3" t="s">
        <v>36</v>
      </c>
      <c r="S204" s="5" t="n">
        <v>46174</v>
      </c>
      <c r="T204" s="5" t="n">
        <v>46267</v>
      </c>
      <c r="U204" s="3"/>
      <c r="V204" s="3" t="n">
        <f aca="false">COUNTIFS(Colours!$A$2:$A$742,$A204,Colours!$D$2:$D$742,"Ordered")</f>
        <v>1</v>
      </c>
    </row>
    <row r="205" customFormat="false" ht="15" hidden="false" customHeight="false" outlineLevel="0" collapsed="false">
      <c r="A205" s="3" t="s">
        <v>478</v>
      </c>
      <c r="B205" s="3" t="s">
        <v>324</v>
      </c>
      <c r="C205" s="3" t="s">
        <v>360</v>
      </c>
      <c r="D205" s="3" t="s">
        <v>155</v>
      </c>
      <c r="E205" s="3" t="s">
        <v>156</v>
      </c>
      <c r="F205" s="3" t="s">
        <v>27</v>
      </c>
      <c r="G205" s="3" t="s">
        <v>140</v>
      </c>
      <c r="H205" s="3" t="s">
        <v>395</v>
      </c>
      <c r="I205" s="3"/>
      <c r="J205" s="4"/>
      <c r="K205" s="3" t="s">
        <v>31</v>
      </c>
      <c r="L205" s="3" t="s">
        <v>32</v>
      </c>
      <c r="M205" s="3" t="n">
        <v>300</v>
      </c>
      <c r="N205" s="3" t="s">
        <v>222</v>
      </c>
      <c r="O205" s="3" t="s">
        <v>91</v>
      </c>
      <c r="P205" s="3" t="s">
        <v>34</v>
      </c>
      <c r="Q205" s="3" t="s">
        <v>48</v>
      </c>
      <c r="R205" s="3" t="s">
        <v>58</v>
      </c>
      <c r="S205" s="5" t="n">
        <v>46205</v>
      </c>
      <c r="T205" s="5" t="n">
        <v>46311</v>
      </c>
      <c r="U205" s="3"/>
      <c r="V205" s="3" t="n">
        <f aca="false">COUNTIFS(Colours!$A$2:$A$742,$A205,Colours!$D$2:$D$742,"Ordered")</f>
        <v>0</v>
      </c>
    </row>
    <row r="206" customFormat="false" ht="15" hidden="false" customHeight="false" outlineLevel="0" collapsed="false">
      <c r="A206" s="3" t="s">
        <v>479</v>
      </c>
      <c r="B206" s="3" t="s">
        <v>171</v>
      </c>
      <c r="C206" s="3" t="s">
        <v>360</v>
      </c>
      <c r="D206" s="3" t="s">
        <v>172</v>
      </c>
      <c r="E206" s="3" t="s">
        <v>173</v>
      </c>
      <c r="F206" s="3" t="s">
        <v>174</v>
      </c>
      <c r="G206" s="3" t="s">
        <v>175</v>
      </c>
      <c r="H206" s="3" t="s">
        <v>176</v>
      </c>
      <c r="I206" s="3" t="s">
        <v>177</v>
      </c>
      <c r="J206" s="4" t="s">
        <v>124</v>
      </c>
      <c r="K206" s="3" t="s">
        <v>31</v>
      </c>
      <c r="L206" s="3" t="s">
        <v>178</v>
      </c>
      <c r="M206" s="3" t="n">
        <v>50</v>
      </c>
      <c r="N206" s="3" t="n">
        <v>6</v>
      </c>
      <c r="O206" s="3" t="s">
        <v>33</v>
      </c>
      <c r="P206" s="3" t="s">
        <v>34</v>
      </c>
      <c r="Q206" s="3" t="s">
        <v>48</v>
      </c>
      <c r="R206" s="3" t="s">
        <v>58</v>
      </c>
      <c r="S206" s="5" t="n">
        <v>46210</v>
      </c>
      <c r="T206" s="5" t="n">
        <v>46291</v>
      </c>
      <c r="U206" s="3"/>
      <c r="V206" s="3" t="n">
        <f aca="false">COUNTIFS(Colours!$A$2:$A$742,$A206,Colours!$D$2:$D$742,"Ordered")</f>
        <v>3</v>
      </c>
    </row>
    <row r="207" customFormat="false" ht="15" hidden="false" customHeight="false" outlineLevel="0" collapsed="false">
      <c r="A207" s="3" t="s">
        <v>480</v>
      </c>
      <c r="B207" s="3" t="s">
        <v>39</v>
      </c>
      <c r="C207" s="3" t="s">
        <v>360</v>
      </c>
      <c r="D207" s="3" t="s">
        <v>40</v>
      </c>
      <c r="E207" s="3" t="s">
        <v>41</v>
      </c>
      <c r="F207" s="3" t="s">
        <v>42</v>
      </c>
      <c r="G207" s="3" t="s">
        <v>43</v>
      </c>
      <c r="H207" s="3" t="s">
        <v>481</v>
      </c>
      <c r="I207" s="3" t="s">
        <v>45</v>
      </c>
      <c r="J207" s="4" t="n">
        <v>20.97</v>
      </c>
      <c r="K207" s="3" t="s">
        <v>31</v>
      </c>
      <c r="L207" s="3" t="s">
        <v>32</v>
      </c>
      <c r="M207" s="3" t="n">
        <v>50</v>
      </c>
      <c r="N207" s="3"/>
      <c r="O207" s="3" t="s">
        <v>46</v>
      </c>
      <c r="P207" s="3" t="s">
        <v>47</v>
      </c>
      <c r="Q207" s="3" t="s">
        <v>48</v>
      </c>
      <c r="R207" s="3" t="s">
        <v>80</v>
      </c>
      <c r="S207" s="5" t="n">
        <v>46220</v>
      </c>
      <c r="T207" s="5" t="n">
        <v>46276</v>
      </c>
      <c r="U207" s="3"/>
      <c r="V207" s="3" t="n">
        <f aca="false">COUNTIFS(Colours!$A$2:$A$742,$A207,Colours!$D$2:$D$742,"Ordered")</f>
        <v>1</v>
      </c>
    </row>
    <row r="208" customFormat="false" ht="15" hidden="false" customHeight="false" outlineLevel="0" collapsed="false">
      <c r="A208" s="3" t="s">
        <v>482</v>
      </c>
      <c r="B208" s="3" t="s">
        <v>362</v>
      </c>
      <c r="C208" s="3" t="s">
        <v>360</v>
      </c>
      <c r="D208" s="3" t="s">
        <v>52</v>
      </c>
      <c r="E208" s="3" t="s">
        <v>53</v>
      </c>
      <c r="F208" s="3" t="s">
        <v>64</v>
      </c>
      <c r="G208" s="3" t="s">
        <v>65</v>
      </c>
      <c r="H208" s="3" t="s">
        <v>483</v>
      </c>
      <c r="I208" s="3" t="s">
        <v>198</v>
      </c>
      <c r="J208" s="4" t="n">
        <v>94.54</v>
      </c>
      <c r="K208" s="3" t="s">
        <v>31</v>
      </c>
      <c r="L208" s="3" t="s">
        <v>32</v>
      </c>
      <c r="M208" s="3" t="n">
        <v>300</v>
      </c>
      <c r="N208" s="3" t="n">
        <v>11</v>
      </c>
      <c r="O208" s="3" t="s">
        <v>33</v>
      </c>
      <c r="P208" s="3" t="s">
        <v>34</v>
      </c>
      <c r="Q208" s="3" t="s">
        <v>48</v>
      </c>
      <c r="R208" s="3" t="s">
        <v>36</v>
      </c>
      <c r="S208" s="5" t="n">
        <v>46177</v>
      </c>
      <c r="T208" s="5" t="n">
        <v>46279</v>
      </c>
      <c r="U208" s="3"/>
      <c r="V208" s="3" t="n">
        <f aca="false">COUNTIFS(Colours!$A$2:$A$742,$A208,Colours!$D$2:$D$742,"Ordered")</f>
        <v>2</v>
      </c>
    </row>
    <row r="209" customFormat="false" ht="15" hidden="false" customHeight="false" outlineLevel="0" collapsed="false">
      <c r="A209" s="3" t="s">
        <v>484</v>
      </c>
      <c r="B209" s="3" t="s">
        <v>137</v>
      </c>
      <c r="C209" s="3" t="s">
        <v>360</v>
      </c>
      <c r="D209" s="3" t="s">
        <v>110</v>
      </c>
      <c r="E209" s="3" t="s">
        <v>111</v>
      </c>
      <c r="F209" s="3" t="s">
        <v>86</v>
      </c>
      <c r="G209" s="3" t="s">
        <v>87</v>
      </c>
      <c r="H209" s="3" t="s">
        <v>165</v>
      </c>
      <c r="I209" s="3" t="s">
        <v>89</v>
      </c>
      <c r="J209" s="4"/>
      <c r="K209" s="3" t="s">
        <v>31</v>
      </c>
      <c r="L209" s="3" t="s">
        <v>90</v>
      </c>
      <c r="M209" s="3"/>
      <c r="N209" s="3" t="n">
        <v>6</v>
      </c>
      <c r="O209" s="3" t="s">
        <v>33</v>
      </c>
      <c r="P209" s="3"/>
      <c r="Q209" s="3" t="s">
        <v>35</v>
      </c>
      <c r="R209" s="3" t="s">
        <v>49</v>
      </c>
      <c r="S209" s="5" t="n">
        <v>46180</v>
      </c>
      <c r="T209" s="5" t="n">
        <v>46240</v>
      </c>
      <c r="U209" s="3"/>
      <c r="V209" s="3" t="n">
        <f aca="false">COUNTIFS(Colours!$A$2:$A$742,$A209,Colours!$D$2:$D$742,"Ordered")</f>
        <v>3</v>
      </c>
    </row>
    <row r="210" customFormat="false" ht="15" hidden="false" customHeight="false" outlineLevel="0" collapsed="false">
      <c r="A210" s="3" t="s">
        <v>485</v>
      </c>
      <c r="B210" s="3" t="s">
        <v>23</v>
      </c>
      <c r="C210" s="3" t="s">
        <v>360</v>
      </c>
      <c r="D210" s="3" t="s">
        <v>155</v>
      </c>
      <c r="E210" s="3" t="s">
        <v>156</v>
      </c>
      <c r="F210" s="3" t="s">
        <v>27</v>
      </c>
      <c r="G210" s="3" t="s">
        <v>28</v>
      </c>
      <c r="H210" s="3" t="s">
        <v>486</v>
      </c>
      <c r="I210" s="3" t="s">
        <v>134</v>
      </c>
      <c r="J210" s="4" t="s">
        <v>222</v>
      </c>
      <c r="K210" s="3" t="s">
        <v>31</v>
      </c>
      <c r="L210" s="3" t="s">
        <v>32</v>
      </c>
      <c r="M210" s="3" t="n">
        <v>100</v>
      </c>
      <c r="N210" s="3" t="n">
        <v>13</v>
      </c>
      <c r="O210" s="3" t="s">
        <v>91</v>
      </c>
      <c r="P210" s="3" t="s">
        <v>34</v>
      </c>
      <c r="Q210" s="3" t="s">
        <v>48</v>
      </c>
      <c r="R210" s="3" t="s">
        <v>144</v>
      </c>
      <c r="S210" s="5" t="n">
        <v>46231</v>
      </c>
      <c r="T210" s="5" t="n">
        <v>46252</v>
      </c>
      <c r="U210" s="3"/>
      <c r="V210" s="3" t="n">
        <f aca="false">COUNTIFS(Colours!$A$2:$A$742,$A210,Colours!$D$2:$D$742,"Ordered")</f>
        <v>2</v>
      </c>
    </row>
    <row r="211" customFormat="false" ht="15" hidden="false" customHeight="false" outlineLevel="0" collapsed="false">
      <c r="A211" s="3" t="s">
        <v>487</v>
      </c>
      <c r="B211" s="3" t="s">
        <v>126</v>
      </c>
      <c r="C211" s="3" t="s">
        <v>360</v>
      </c>
      <c r="D211" s="3" t="s">
        <v>110</v>
      </c>
      <c r="E211" s="3" t="s">
        <v>111</v>
      </c>
      <c r="F211" s="3" t="s">
        <v>86</v>
      </c>
      <c r="G211" s="3" t="s">
        <v>146</v>
      </c>
      <c r="H211" s="3" t="s">
        <v>286</v>
      </c>
      <c r="I211" s="3" t="s">
        <v>89</v>
      </c>
      <c r="J211" s="4" t="n">
        <v>5.3</v>
      </c>
      <c r="K211" s="3" t="s">
        <v>31</v>
      </c>
      <c r="L211" s="3" t="s">
        <v>90</v>
      </c>
      <c r="M211" s="3" t="n">
        <v>300</v>
      </c>
      <c r="N211" s="3" t="n">
        <v>8</v>
      </c>
      <c r="O211" s="3"/>
      <c r="P211" s="3" t="s">
        <v>128</v>
      </c>
      <c r="Q211" s="3" t="s">
        <v>68</v>
      </c>
      <c r="R211" s="3" t="s">
        <v>36</v>
      </c>
      <c r="S211" s="5" t="n">
        <v>46182</v>
      </c>
      <c r="T211" s="5" t="n">
        <v>46311</v>
      </c>
      <c r="U211" s="3" t="s">
        <v>129</v>
      </c>
      <c r="V211" s="3" t="n">
        <f aca="false">COUNTIFS(Colours!$A$2:$A$742,$A211,Colours!$D$2:$D$742,"Ordered")</f>
        <v>5</v>
      </c>
    </row>
    <row r="212" customFormat="false" ht="15" hidden="false" customHeight="false" outlineLevel="0" collapsed="false">
      <c r="A212" s="3" t="s">
        <v>488</v>
      </c>
      <c r="B212" s="3" t="s">
        <v>324</v>
      </c>
      <c r="C212" s="3" t="s">
        <v>360</v>
      </c>
      <c r="D212" s="3" t="s">
        <v>25</v>
      </c>
      <c r="E212" s="3" t="s">
        <v>26</v>
      </c>
      <c r="F212" s="3" t="s">
        <v>27</v>
      </c>
      <c r="G212" s="3" t="s">
        <v>140</v>
      </c>
      <c r="H212" s="3" t="s">
        <v>489</v>
      </c>
      <c r="I212" s="3" t="s">
        <v>96</v>
      </c>
      <c r="J212" s="4"/>
      <c r="K212" s="3" t="s">
        <v>31</v>
      </c>
      <c r="L212" s="3" t="s">
        <v>32</v>
      </c>
      <c r="M212" s="3" t="n">
        <v>50</v>
      </c>
      <c r="N212" s="3" t="n">
        <v>4</v>
      </c>
      <c r="O212" s="3" t="s">
        <v>33</v>
      </c>
      <c r="P212" s="3" t="s">
        <v>34</v>
      </c>
      <c r="Q212" s="3" t="s">
        <v>48</v>
      </c>
      <c r="R212" s="3" t="s">
        <v>36</v>
      </c>
      <c r="S212" s="5" t="n">
        <v>46189</v>
      </c>
      <c r="T212" s="5" t="n">
        <v>46233</v>
      </c>
      <c r="U212" s="3"/>
      <c r="V212" s="3" t="n">
        <f aca="false">COUNTIFS(Colours!$A$2:$A$742,$A212,Colours!$D$2:$D$742,"Ordered")</f>
        <v>3</v>
      </c>
    </row>
    <row r="213" customFormat="false" ht="15" hidden="false" customHeight="false" outlineLevel="0" collapsed="false">
      <c r="A213" s="3" t="s">
        <v>490</v>
      </c>
      <c r="B213" s="3" t="s">
        <v>168</v>
      </c>
      <c r="C213" s="3" t="s">
        <v>360</v>
      </c>
      <c r="D213" s="3" t="s">
        <v>52</v>
      </c>
      <c r="E213" s="3" t="s">
        <v>53</v>
      </c>
      <c r="F213" s="3" t="s">
        <v>54</v>
      </c>
      <c r="G213" s="3" t="s">
        <v>160</v>
      </c>
      <c r="H213" s="3" t="s">
        <v>491</v>
      </c>
      <c r="I213" s="3" t="s">
        <v>96</v>
      </c>
      <c r="J213" s="4" t="n">
        <v>31.48</v>
      </c>
      <c r="K213" s="3" t="s">
        <v>31</v>
      </c>
      <c r="L213" s="3" t="s">
        <v>32</v>
      </c>
      <c r="M213" s="3" t="n">
        <v>150</v>
      </c>
      <c r="N213" s="3"/>
      <c r="O213" s="3" t="s">
        <v>33</v>
      </c>
      <c r="P213" s="3" t="s">
        <v>34</v>
      </c>
      <c r="Q213" s="3" t="s">
        <v>48</v>
      </c>
      <c r="R213" s="3" t="s">
        <v>36</v>
      </c>
      <c r="S213" s="5" t="n">
        <v>46207</v>
      </c>
      <c r="T213" s="5" t="n">
        <v>46214</v>
      </c>
      <c r="U213" s="3"/>
      <c r="V213" s="3" t="n">
        <f aca="false">COUNTIFS(Colours!$A$2:$A$742,$A213,Colours!$D$2:$D$742,"Ordered")</f>
        <v>4</v>
      </c>
    </row>
    <row r="214" customFormat="false" ht="15" hidden="false" customHeight="false" outlineLevel="0" collapsed="false">
      <c r="A214" s="3" t="s">
        <v>492</v>
      </c>
      <c r="B214" s="3" t="s">
        <v>171</v>
      </c>
      <c r="C214" s="3" t="s">
        <v>360</v>
      </c>
      <c r="D214" s="3" t="s">
        <v>172</v>
      </c>
      <c r="E214" s="3" t="s">
        <v>173</v>
      </c>
      <c r="F214" s="3" t="s">
        <v>174</v>
      </c>
      <c r="G214" s="3"/>
      <c r="H214" s="3" t="s">
        <v>200</v>
      </c>
      <c r="I214" s="3" t="s">
        <v>177</v>
      </c>
      <c r="J214" s="4"/>
      <c r="K214" s="3" t="s">
        <v>31</v>
      </c>
      <c r="L214" s="3" t="s">
        <v>178</v>
      </c>
      <c r="M214" s="3" t="n">
        <v>100</v>
      </c>
      <c r="N214" s="3" t="n">
        <v>12</v>
      </c>
      <c r="O214" s="3" t="s">
        <v>33</v>
      </c>
      <c r="P214" s="3"/>
      <c r="Q214" s="3" t="s">
        <v>68</v>
      </c>
      <c r="R214" s="3" t="s">
        <v>58</v>
      </c>
      <c r="S214" s="5" t="n">
        <v>46228</v>
      </c>
      <c r="T214" s="5" t="n">
        <v>46294</v>
      </c>
      <c r="U214" s="3" t="s">
        <v>59</v>
      </c>
      <c r="V214" s="3" t="n">
        <f aca="false">COUNTIFS(Colours!$A$2:$A$742,$A214,Colours!$D$2:$D$742,"Ordered")</f>
        <v>2</v>
      </c>
    </row>
    <row r="215" customFormat="false" ht="15" hidden="false" customHeight="false" outlineLevel="0" collapsed="false">
      <c r="A215" s="3" t="s">
        <v>493</v>
      </c>
      <c r="B215" s="3" t="s">
        <v>239</v>
      </c>
      <c r="C215" s="3" t="s">
        <v>360</v>
      </c>
      <c r="D215" s="3" t="s">
        <v>40</v>
      </c>
      <c r="E215" s="3" t="s">
        <v>41</v>
      </c>
      <c r="F215" s="3" t="s">
        <v>42</v>
      </c>
      <c r="G215" s="3" t="s">
        <v>43</v>
      </c>
      <c r="H215" s="3" t="s">
        <v>494</v>
      </c>
      <c r="I215" s="3"/>
      <c r="J215" s="4"/>
      <c r="K215" s="3" t="s">
        <v>31</v>
      </c>
      <c r="L215" s="3" t="s">
        <v>32</v>
      </c>
      <c r="M215" s="3" t="n">
        <v>300</v>
      </c>
      <c r="N215" s="3" t="s">
        <v>124</v>
      </c>
      <c r="O215" s="3" t="s">
        <v>46</v>
      </c>
      <c r="P215" s="3" t="s">
        <v>298</v>
      </c>
      <c r="Q215" s="3" t="s">
        <v>48</v>
      </c>
      <c r="R215" s="3" t="s">
        <v>144</v>
      </c>
      <c r="S215" s="5" t="n">
        <v>46188</v>
      </c>
      <c r="T215" s="5" t="n">
        <v>46214</v>
      </c>
      <c r="U215" s="3"/>
      <c r="V215" s="3" t="n">
        <f aca="false">COUNTIFS(Colours!$A$2:$A$742,$A215,Colours!$D$2:$D$742,"Ordered")</f>
        <v>3</v>
      </c>
    </row>
    <row r="216" customFormat="false" ht="15" hidden="false" customHeight="false" outlineLevel="0" collapsed="false">
      <c r="A216" s="3" t="s">
        <v>495</v>
      </c>
      <c r="B216" s="3" t="s">
        <v>242</v>
      </c>
      <c r="C216" s="3" t="s">
        <v>360</v>
      </c>
      <c r="D216" s="3" t="s">
        <v>71</v>
      </c>
      <c r="E216" s="3" t="s">
        <v>72</v>
      </c>
      <c r="F216" s="3" t="s">
        <v>73</v>
      </c>
      <c r="G216" s="3" t="s">
        <v>74</v>
      </c>
      <c r="H216" s="3" t="s">
        <v>316</v>
      </c>
      <c r="I216" s="3" t="s">
        <v>198</v>
      </c>
      <c r="J216" s="4" t="n">
        <v>31.32</v>
      </c>
      <c r="K216" s="3" t="s">
        <v>31</v>
      </c>
      <c r="L216" s="3" t="s">
        <v>32</v>
      </c>
      <c r="M216" s="3" t="n">
        <v>20</v>
      </c>
      <c r="N216" s="3" t="n">
        <v>12</v>
      </c>
      <c r="O216" s="3" t="s">
        <v>33</v>
      </c>
      <c r="P216" s="3" t="s">
        <v>76</v>
      </c>
      <c r="Q216" s="3" t="s">
        <v>48</v>
      </c>
      <c r="R216" s="3" t="s">
        <v>80</v>
      </c>
      <c r="S216" s="5" t="n">
        <v>46206</v>
      </c>
      <c r="T216" s="5" t="n">
        <v>46311</v>
      </c>
      <c r="U216" s="3"/>
      <c r="V216" s="3" t="n">
        <f aca="false">COUNTIFS(Colours!$A$2:$A$742,$A216,Colours!$D$2:$D$742,"Ordered")</f>
        <v>1</v>
      </c>
    </row>
    <row r="217" customFormat="false" ht="15" hidden="false" customHeight="false" outlineLevel="0" collapsed="false">
      <c r="A217" s="3" t="s">
        <v>496</v>
      </c>
      <c r="B217" s="3" t="s">
        <v>292</v>
      </c>
      <c r="C217" s="3" t="s">
        <v>360</v>
      </c>
      <c r="D217" s="3" t="s">
        <v>40</v>
      </c>
      <c r="E217" s="3" t="s">
        <v>41</v>
      </c>
      <c r="F217" s="3" t="s">
        <v>54</v>
      </c>
      <c r="G217" s="3" t="s">
        <v>160</v>
      </c>
      <c r="H217" s="3" t="s">
        <v>497</v>
      </c>
      <c r="I217" s="3" t="s">
        <v>30</v>
      </c>
      <c r="J217" s="4" t="n">
        <v>30.76</v>
      </c>
      <c r="K217" s="3" t="s">
        <v>31</v>
      </c>
      <c r="L217" s="3" t="s">
        <v>32</v>
      </c>
      <c r="M217" s="3" t="s">
        <v>222</v>
      </c>
      <c r="N217" s="3" t="n">
        <v>9</v>
      </c>
      <c r="O217" s="3"/>
      <c r="P217" s="3" t="s">
        <v>57</v>
      </c>
      <c r="Q217" s="3" t="s">
        <v>35</v>
      </c>
      <c r="R217" s="3" t="s">
        <v>80</v>
      </c>
      <c r="S217" s="5" t="n">
        <v>46233</v>
      </c>
      <c r="T217" s="5" t="n">
        <v>46285</v>
      </c>
      <c r="U217" s="3" t="s">
        <v>208</v>
      </c>
      <c r="V217" s="3" t="n">
        <f aca="false">COUNTIFS(Colours!$A$2:$A$742,$A217,Colours!$D$2:$D$742,"Ordered")</f>
        <v>1</v>
      </c>
    </row>
    <row r="218" customFormat="false" ht="15" hidden="false" customHeight="false" outlineLevel="0" collapsed="false">
      <c r="A218" s="3" t="s">
        <v>498</v>
      </c>
      <c r="B218" s="3" t="s">
        <v>126</v>
      </c>
      <c r="C218" s="3" t="s">
        <v>360</v>
      </c>
      <c r="D218" s="3" t="s">
        <v>116</v>
      </c>
      <c r="E218" s="3" t="s">
        <v>117</v>
      </c>
      <c r="F218" s="3" t="s">
        <v>86</v>
      </c>
      <c r="G218" s="3" t="s">
        <v>118</v>
      </c>
      <c r="H218" s="3" t="s">
        <v>138</v>
      </c>
      <c r="I218" s="3" t="s">
        <v>113</v>
      </c>
      <c r="J218" s="4"/>
      <c r="K218" s="3" t="s">
        <v>31</v>
      </c>
      <c r="L218" s="3" t="s">
        <v>90</v>
      </c>
      <c r="M218" s="3" t="n">
        <v>300</v>
      </c>
      <c r="N218" s="3"/>
      <c r="O218" s="3" t="s">
        <v>91</v>
      </c>
      <c r="P218" s="3"/>
      <c r="Q218" s="3" t="s">
        <v>48</v>
      </c>
      <c r="R218" s="3" t="s">
        <v>49</v>
      </c>
      <c r="S218" s="5" t="n">
        <v>46211</v>
      </c>
      <c r="T218" s="5" t="n">
        <v>46286</v>
      </c>
      <c r="U218" s="3"/>
      <c r="V218" s="3" t="n">
        <f aca="false">COUNTIFS(Colours!$A$2:$A$742,$A218,Colours!$D$2:$D$742,"Ordered")</f>
        <v>1</v>
      </c>
    </row>
    <row r="219" customFormat="false" ht="15" hidden="false" customHeight="false" outlineLevel="0" collapsed="false">
      <c r="A219" s="3" t="s">
        <v>499</v>
      </c>
      <c r="B219" s="3" t="s">
        <v>217</v>
      </c>
      <c r="C219" s="3" t="s">
        <v>360</v>
      </c>
      <c r="D219" s="3" t="s">
        <v>40</v>
      </c>
      <c r="E219" s="3" t="s">
        <v>41</v>
      </c>
      <c r="F219" s="3" t="s">
        <v>42</v>
      </c>
      <c r="G219" s="3" t="s">
        <v>218</v>
      </c>
      <c r="H219" s="3" t="s">
        <v>500</v>
      </c>
      <c r="I219" s="3" t="s">
        <v>198</v>
      </c>
      <c r="J219" s="4" t="s">
        <v>222</v>
      </c>
      <c r="K219" s="3" t="s">
        <v>31</v>
      </c>
      <c r="L219" s="3" t="s">
        <v>32</v>
      </c>
      <c r="M219" s="3" t="s">
        <v>124</v>
      </c>
      <c r="N219" s="3" t="n">
        <v>8</v>
      </c>
      <c r="O219" s="3" t="s">
        <v>46</v>
      </c>
      <c r="P219" s="3"/>
      <c r="Q219" s="3" t="s">
        <v>48</v>
      </c>
      <c r="R219" s="3" t="s">
        <v>49</v>
      </c>
      <c r="S219" s="5" t="n">
        <v>46177</v>
      </c>
      <c r="T219" s="5" t="n">
        <v>46206</v>
      </c>
      <c r="U219" s="3"/>
      <c r="V219" s="3" t="n">
        <f aca="false">COUNTIFS(Colours!$A$2:$A$742,$A219,Colours!$D$2:$D$742,"Ordered")</f>
        <v>1</v>
      </c>
    </row>
    <row r="220" customFormat="false" ht="15" hidden="false" customHeight="false" outlineLevel="0" collapsed="false">
      <c r="A220" s="3" t="s">
        <v>501</v>
      </c>
      <c r="B220" s="3" t="s">
        <v>292</v>
      </c>
      <c r="C220" s="3" t="s">
        <v>360</v>
      </c>
      <c r="D220" s="3" t="s">
        <v>155</v>
      </c>
      <c r="E220" s="3" t="s">
        <v>156</v>
      </c>
      <c r="F220" s="3" t="s">
        <v>54</v>
      </c>
      <c r="G220" s="3" t="s">
        <v>160</v>
      </c>
      <c r="H220" s="3"/>
      <c r="I220" s="3" t="s">
        <v>45</v>
      </c>
      <c r="J220" s="4"/>
      <c r="K220" s="3" t="s">
        <v>31</v>
      </c>
      <c r="L220" s="3" t="s">
        <v>32</v>
      </c>
      <c r="M220" s="3" t="n">
        <v>100</v>
      </c>
      <c r="N220" s="3" t="n">
        <v>4</v>
      </c>
      <c r="O220" s="3" t="s">
        <v>91</v>
      </c>
      <c r="P220" s="3" t="s">
        <v>152</v>
      </c>
      <c r="Q220" s="3" t="s">
        <v>68</v>
      </c>
      <c r="R220" s="3" t="s">
        <v>144</v>
      </c>
      <c r="S220" s="5" t="n">
        <v>46176</v>
      </c>
      <c r="T220" s="5" t="n">
        <v>46185</v>
      </c>
      <c r="U220" s="3"/>
      <c r="V220" s="3" t="n">
        <f aca="false">COUNTIFS(Colours!$A$2:$A$742,$A220,Colours!$D$2:$D$742,"Ordered")</f>
        <v>3</v>
      </c>
    </row>
    <row r="221" customFormat="false" ht="15" hidden="false" customHeight="false" outlineLevel="0" collapsed="false">
      <c r="A221" s="3" t="s">
        <v>502</v>
      </c>
      <c r="B221" s="3" t="s">
        <v>300</v>
      </c>
      <c r="C221" s="3" t="s">
        <v>360</v>
      </c>
      <c r="D221" s="3" t="s">
        <v>172</v>
      </c>
      <c r="E221" s="3" t="s">
        <v>173</v>
      </c>
      <c r="F221" s="3" t="s">
        <v>174</v>
      </c>
      <c r="G221" s="3" t="s">
        <v>210</v>
      </c>
      <c r="H221" s="3" t="s">
        <v>274</v>
      </c>
      <c r="I221" s="3" t="s">
        <v>177</v>
      </c>
      <c r="J221" s="4" t="n">
        <v>81.96</v>
      </c>
      <c r="K221" s="3" t="s">
        <v>31</v>
      </c>
      <c r="L221" s="3" t="s">
        <v>178</v>
      </c>
      <c r="M221" s="3" t="n">
        <v>100</v>
      </c>
      <c r="N221" s="3" t="n">
        <v>6</v>
      </c>
      <c r="O221" s="3" t="s">
        <v>33</v>
      </c>
      <c r="P221" s="3" t="s">
        <v>34</v>
      </c>
      <c r="Q221" s="3" t="s">
        <v>48</v>
      </c>
      <c r="R221" s="3" t="s">
        <v>49</v>
      </c>
      <c r="S221" s="5" t="n">
        <v>46198</v>
      </c>
      <c r="T221" s="5" t="n">
        <v>46268</v>
      </c>
      <c r="U221" s="3"/>
      <c r="V221" s="3" t="n">
        <f aca="false">COUNTIFS(Colours!$A$2:$A$742,$A221,Colours!$D$2:$D$742,"Ordered")</f>
        <v>3</v>
      </c>
    </row>
  </sheetData>
  <conditionalFormatting sqref="B2:P221">
    <cfRule type="expression" priority="2" aboveAverage="0" equalAverage="0" bottom="0" percent="0" rank="0" text="" dxfId="5">
      <formula>OR(LEN(TRIM(B2))=0,B2="TBD",B2="n/a")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4"/>
    <col collapsed="false" customWidth="true" hidden="false" outlineLevel="0" max="4" min="4" style="0" width="13"/>
    <col collapsed="false" customWidth="true" hidden="false" outlineLevel="0" max="5" min="5" style="0" width="11"/>
    <col collapsed="false" customWidth="true" hidden="false" outlineLevel="0" max="6" min="6" style="0" width="7"/>
    <col collapsed="false" customWidth="true" hidden="false" outlineLevel="0" max="7" min="7" style="0" width="12"/>
  </cols>
  <sheetData>
    <row r="1" customFormat="false" ht="30" hidden="false" customHeight="true" outlineLevel="0" collapsed="false">
      <c r="A1" s="1" t="s">
        <v>0</v>
      </c>
      <c r="B1" s="1" t="s">
        <v>503</v>
      </c>
      <c r="C1" s="1" t="s">
        <v>504</v>
      </c>
      <c r="D1" s="1" t="s">
        <v>505</v>
      </c>
      <c r="E1" s="1" t="s">
        <v>506</v>
      </c>
      <c r="F1" s="1" t="s">
        <v>507</v>
      </c>
      <c r="G1" s="1" t="s">
        <v>508</v>
      </c>
    </row>
    <row r="2" customFormat="false" ht="15" hidden="false" customHeight="false" outlineLevel="0" collapsed="false">
      <c r="A2" s="3" t="s">
        <v>22</v>
      </c>
      <c r="B2" s="3" t="s">
        <v>509</v>
      </c>
      <c r="C2" s="3" t="s">
        <v>510</v>
      </c>
      <c r="D2" s="3" t="s">
        <v>511</v>
      </c>
      <c r="E2" s="6"/>
      <c r="F2" s="3" t="s">
        <v>512</v>
      </c>
      <c r="G2" s="5"/>
    </row>
    <row r="3" customFormat="false" ht="15" hidden="false" customHeight="false" outlineLevel="0" collapsed="false">
      <c r="A3" s="3" t="s">
        <v>38</v>
      </c>
      <c r="B3" s="3" t="s">
        <v>513</v>
      </c>
      <c r="C3" s="3" t="s">
        <v>510</v>
      </c>
      <c r="D3" s="3" t="s">
        <v>514</v>
      </c>
      <c r="E3" s="6" t="n">
        <v>55</v>
      </c>
      <c r="F3" s="3" t="s">
        <v>512</v>
      </c>
      <c r="G3" s="5" t="n">
        <v>46009</v>
      </c>
    </row>
    <row r="4" customFormat="false" ht="15" hidden="false" customHeight="false" outlineLevel="0" collapsed="false">
      <c r="A4" s="3" t="s">
        <v>50</v>
      </c>
      <c r="B4" s="3" t="s">
        <v>515</v>
      </c>
      <c r="C4" s="3" t="s">
        <v>516</v>
      </c>
      <c r="D4" s="3" t="s">
        <v>514</v>
      </c>
      <c r="E4" s="6" t="n">
        <v>35</v>
      </c>
      <c r="F4" s="3" t="s">
        <v>512</v>
      </c>
      <c r="G4" s="5" t="n">
        <v>46055</v>
      </c>
    </row>
    <row r="5" customFormat="false" ht="15" hidden="false" customHeight="false" outlineLevel="0" collapsed="false">
      <c r="A5" s="3" t="s">
        <v>60</v>
      </c>
      <c r="B5" s="3" t="s">
        <v>517</v>
      </c>
      <c r="C5" s="3" t="s">
        <v>518</v>
      </c>
      <c r="D5" s="3" t="s">
        <v>514</v>
      </c>
      <c r="E5" s="6" t="n">
        <v>95</v>
      </c>
      <c r="F5" s="3" t="s">
        <v>512</v>
      </c>
      <c r="G5" s="5" t="n">
        <v>46003</v>
      </c>
    </row>
    <row r="6" customFormat="false" ht="15" hidden="false" customHeight="false" outlineLevel="0" collapsed="false">
      <c r="A6" s="3" t="s">
        <v>60</v>
      </c>
      <c r="B6" s="3" t="s">
        <v>519</v>
      </c>
      <c r="C6" s="3" t="s">
        <v>516</v>
      </c>
      <c r="D6" s="3" t="s">
        <v>520</v>
      </c>
      <c r="E6" s="6"/>
      <c r="F6" s="3" t="s">
        <v>512</v>
      </c>
      <c r="G6" s="5"/>
    </row>
    <row r="7" customFormat="false" ht="15" hidden="false" customHeight="false" outlineLevel="0" collapsed="false">
      <c r="A7" s="3" t="s">
        <v>69</v>
      </c>
      <c r="B7" s="3" t="s">
        <v>521</v>
      </c>
      <c r="C7" s="3" t="s">
        <v>522</v>
      </c>
      <c r="D7" s="3" t="s">
        <v>514</v>
      </c>
      <c r="E7" s="6" t="n">
        <v>25</v>
      </c>
      <c r="F7" s="3" t="s">
        <v>512</v>
      </c>
      <c r="G7" s="5" t="n">
        <v>46026</v>
      </c>
    </row>
    <row r="8" customFormat="false" ht="15" hidden="false" customHeight="false" outlineLevel="0" collapsed="false">
      <c r="A8" s="3" t="s">
        <v>69</v>
      </c>
      <c r="B8" s="3" t="s">
        <v>523</v>
      </c>
      <c r="C8" s="3" t="s">
        <v>524</v>
      </c>
      <c r="D8" s="3" t="s">
        <v>514</v>
      </c>
      <c r="E8" s="6" t="n">
        <v>180</v>
      </c>
      <c r="F8" s="3" t="s">
        <v>512</v>
      </c>
      <c r="G8" s="5" t="n">
        <v>46015</v>
      </c>
    </row>
    <row r="9" customFormat="false" ht="15" hidden="false" customHeight="false" outlineLevel="0" collapsed="false">
      <c r="A9" s="3" t="s">
        <v>77</v>
      </c>
      <c r="B9" s="3" t="s">
        <v>525</v>
      </c>
      <c r="C9" s="3" t="s">
        <v>526</v>
      </c>
      <c r="D9" s="3" t="s">
        <v>514</v>
      </c>
      <c r="E9" s="6" t="n">
        <v>120</v>
      </c>
      <c r="F9" s="3" t="s">
        <v>512</v>
      </c>
      <c r="G9" s="5" t="n">
        <v>46003</v>
      </c>
    </row>
    <row r="10" customFormat="false" ht="15" hidden="false" customHeight="false" outlineLevel="0" collapsed="false">
      <c r="A10" s="3" t="s">
        <v>77</v>
      </c>
      <c r="B10" s="3" t="s">
        <v>527</v>
      </c>
      <c r="C10" s="3" t="s">
        <v>522</v>
      </c>
      <c r="D10" s="3" t="s">
        <v>511</v>
      </c>
      <c r="E10" s="6"/>
      <c r="F10" s="3" t="s">
        <v>512</v>
      </c>
      <c r="G10" s="5"/>
    </row>
    <row r="11" customFormat="false" ht="15" hidden="false" customHeight="false" outlineLevel="0" collapsed="false">
      <c r="A11" s="3" t="s">
        <v>77</v>
      </c>
      <c r="B11" s="3" t="s">
        <v>528</v>
      </c>
      <c r="C11" s="3" t="s">
        <v>529</v>
      </c>
      <c r="D11" s="3" t="s">
        <v>514</v>
      </c>
      <c r="E11" s="6" t="n">
        <v>50</v>
      </c>
      <c r="F11" s="3" t="s">
        <v>512</v>
      </c>
      <c r="G11" s="5" t="n">
        <v>46026</v>
      </c>
    </row>
    <row r="12" customFormat="false" ht="15" hidden="false" customHeight="false" outlineLevel="0" collapsed="false">
      <c r="A12" s="3" t="s">
        <v>82</v>
      </c>
      <c r="B12" s="3" t="s">
        <v>530</v>
      </c>
      <c r="C12" s="3" t="s">
        <v>531</v>
      </c>
      <c r="D12" s="3" t="s">
        <v>514</v>
      </c>
      <c r="E12" s="6" t="n">
        <v>90</v>
      </c>
      <c r="F12" s="3" t="s">
        <v>532</v>
      </c>
      <c r="G12" s="5" t="n">
        <v>46037</v>
      </c>
    </row>
    <row r="13" customFormat="false" ht="15" hidden="false" customHeight="false" outlineLevel="0" collapsed="false">
      <c r="A13" s="3" t="s">
        <v>93</v>
      </c>
      <c r="B13" s="3" t="s">
        <v>533</v>
      </c>
      <c r="C13" s="3" t="s">
        <v>518</v>
      </c>
      <c r="D13" s="3" t="s">
        <v>511</v>
      </c>
      <c r="E13" s="6"/>
      <c r="F13" s="3" t="s">
        <v>512</v>
      </c>
      <c r="G13" s="5"/>
    </row>
    <row r="14" customFormat="false" ht="15" hidden="false" customHeight="false" outlineLevel="0" collapsed="false">
      <c r="A14" s="3" t="s">
        <v>93</v>
      </c>
      <c r="B14" s="3" t="s">
        <v>534</v>
      </c>
      <c r="C14" s="3" t="s">
        <v>535</v>
      </c>
      <c r="D14" s="3" t="s">
        <v>514</v>
      </c>
      <c r="E14" s="6" t="n">
        <v>70</v>
      </c>
      <c r="F14" s="3" t="s">
        <v>512</v>
      </c>
      <c r="G14" s="5" t="n">
        <v>46073</v>
      </c>
    </row>
    <row r="15" customFormat="false" ht="15" hidden="false" customHeight="false" outlineLevel="0" collapsed="false">
      <c r="A15" s="3" t="s">
        <v>97</v>
      </c>
      <c r="B15" s="3" t="s">
        <v>536</v>
      </c>
      <c r="C15" s="3" t="s">
        <v>522</v>
      </c>
      <c r="D15" s="3" t="s">
        <v>520</v>
      </c>
      <c r="E15" s="6"/>
      <c r="F15" s="3" t="s">
        <v>512</v>
      </c>
      <c r="G15" s="5"/>
    </row>
    <row r="16" customFormat="false" ht="15" hidden="false" customHeight="false" outlineLevel="0" collapsed="false">
      <c r="A16" s="3" t="s">
        <v>97</v>
      </c>
      <c r="B16" s="3" t="s">
        <v>537</v>
      </c>
      <c r="C16" s="3" t="s">
        <v>538</v>
      </c>
      <c r="D16" s="3" t="s">
        <v>514</v>
      </c>
      <c r="E16" s="6" t="n">
        <v>95</v>
      </c>
      <c r="F16" s="3" t="s">
        <v>512</v>
      </c>
      <c r="G16" s="5" t="n">
        <v>46025</v>
      </c>
    </row>
    <row r="17" customFormat="false" ht="15" hidden="false" customHeight="false" outlineLevel="0" collapsed="false">
      <c r="A17" s="3" t="s">
        <v>97</v>
      </c>
      <c r="B17" s="3" t="s">
        <v>539</v>
      </c>
      <c r="C17" s="3" t="s">
        <v>540</v>
      </c>
      <c r="D17" s="3" t="s">
        <v>514</v>
      </c>
      <c r="E17" s="6" t="n">
        <v>175</v>
      </c>
      <c r="F17" s="3" t="s">
        <v>512</v>
      </c>
      <c r="G17" s="5" t="n">
        <v>46028</v>
      </c>
    </row>
    <row r="18" customFormat="false" ht="15" hidden="false" customHeight="false" outlineLevel="0" collapsed="false">
      <c r="A18" s="3" t="s">
        <v>97</v>
      </c>
      <c r="B18" s="3" t="s">
        <v>541</v>
      </c>
      <c r="C18" s="3" t="s">
        <v>526</v>
      </c>
      <c r="D18" s="3" t="s">
        <v>514</v>
      </c>
      <c r="E18" s="6" t="n">
        <v>75</v>
      </c>
      <c r="F18" s="3" t="s">
        <v>512</v>
      </c>
      <c r="G18" s="5" t="n">
        <v>46069</v>
      </c>
    </row>
    <row r="19" customFormat="false" ht="15" hidden="false" customHeight="false" outlineLevel="0" collapsed="false">
      <c r="A19" s="3" t="s">
        <v>104</v>
      </c>
      <c r="B19" s="3" t="s">
        <v>542</v>
      </c>
      <c r="C19" s="3" t="s">
        <v>543</v>
      </c>
      <c r="D19" s="3" t="s">
        <v>514</v>
      </c>
      <c r="E19" s="6" t="n">
        <v>60</v>
      </c>
      <c r="F19" s="3" t="s">
        <v>512</v>
      </c>
      <c r="G19" s="5" t="n">
        <v>46069</v>
      </c>
    </row>
    <row r="20" customFormat="false" ht="15" hidden="false" customHeight="false" outlineLevel="0" collapsed="false">
      <c r="A20" s="3" t="s">
        <v>104</v>
      </c>
      <c r="B20" s="3" t="s">
        <v>544</v>
      </c>
      <c r="C20" s="3" t="s">
        <v>522</v>
      </c>
      <c r="D20" s="3" t="s">
        <v>514</v>
      </c>
      <c r="E20" s="6" t="n">
        <v>155</v>
      </c>
      <c r="F20" s="3" t="s">
        <v>512</v>
      </c>
      <c r="G20" s="5" t="n">
        <v>46039</v>
      </c>
    </row>
    <row r="21" customFormat="false" ht="15" hidden="false" customHeight="false" outlineLevel="0" collapsed="false">
      <c r="A21" s="3" t="s">
        <v>108</v>
      </c>
      <c r="B21" s="3" t="s">
        <v>545</v>
      </c>
      <c r="C21" s="3" t="s">
        <v>524</v>
      </c>
      <c r="D21" s="3" t="s">
        <v>520</v>
      </c>
      <c r="E21" s="6"/>
      <c r="F21" s="3" t="s">
        <v>532</v>
      </c>
      <c r="G21" s="5"/>
    </row>
    <row r="22" customFormat="false" ht="15" hidden="false" customHeight="false" outlineLevel="0" collapsed="false">
      <c r="A22" s="3" t="s">
        <v>108</v>
      </c>
      <c r="B22" s="3" t="s">
        <v>546</v>
      </c>
      <c r="C22" s="3" t="s">
        <v>526</v>
      </c>
      <c r="D22" s="3" t="s">
        <v>514</v>
      </c>
      <c r="E22" s="6" t="n">
        <v>540</v>
      </c>
      <c r="F22" s="3" t="s">
        <v>532</v>
      </c>
      <c r="G22" s="5" t="n">
        <v>46040</v>
      </c>
    </row>
    <row r="23" customFormat="false" ht="15" hidden="false" customHeight="false" outlineLevel="0" collapsed="false">
      <c r="A23" s="3" t="s">
        <v>108</v>
      </c>
      <c r="B23" s="3" t="s">
        <v>547</v>
      </c>
      <c r="C23" s="3" t="s">
        <v>548</v>
      </c>
      <c r="D23" s="3" t="s">
        <v>514</v>
      </c>
      <c r="E23" s="6" t="n">
        <v>50</v>
      </c>
      <c r="F23" s="3" t="s">
        <v>532</v>
      </c>
      <c r="G23" s="5" t="n">
        <v>46082</v>
      </c>
    </row>
    <row r="24" customFormat="false" ht="15" hidden="false" customHeight="false" outlineLevel="0" collapsed="false">
      <c r="A24" s="3" t="s">
        <v>108</v>
      </c>
      <c r="B24" s="3" t="s">
        <v>549</v>
      </c>
      <c r="C24" s="3" t="s">
        <v>518</v>
      </c>
      <c r="D24" s="3" t="s">
        <v>514</v>
      </c>
      <c r="E24" s="6" t="n">
        <v>500</v>
      </c>
      <c r="F24" s="3" t="s">
        <v>532</v>
      </c>
      <c r="G24" s="5" t="n">
        <v>46060</v>
      </c>
    </row>
    <row r="25" customFormat="false" ht="15" hidden="false" customHeight="false" outlineLevel="0" collapsed="false">
      <c r="A25" s="3" t="s">
        <v>114</v>
      </c>
      <c r="B25" s="3" t="s">
        <v>550</v>
      </c>
      <c r="C25" s="3" t="s">
        <v>543</v>
      </c>
      <c r="D25" s="3" t="s">
        <v>514</v>
      </c>
      <c r="E25" s="6" t="n">
        <v>120</v>
      </c>
      <c r="F25" s="3" t="s">
        <v>532</v>
      </c>
      <c r="G25" s="5" t="n">
        <v>46070</v>
      </c>
    </row>
    <row r="26" customFormat="false" ht="15" hidden="false" customHeight="false" outlineLevel="0" collapsed="false">
      <c r="A26" s="3" t="s">
        <v>114</v>
      </c>
      <c r="B26" s="3" t="s">
        <v>551</v>
      </c>
      <c r="C26" s="3" t="s">
        <v>552</v>
      </c>
      <c r="D26" s="3" t="s">
        <v>514</v>
      </c>
      <c r="E26" s="6" t="n">
        <v>270</v>
      </c>
      <c r="F26" s="3" t="s">
        <v>532</v>
      </c>
      <c r="G26" s="5" t="n">
        <v>46044</v>
      </c>
    </row>
    <row r="27" customFormat="false" ht="15" hidden="false" customHeight="false" outlineLevel="0" collapsed="false">
      <c r="A27" s="3" t="s">
        <v>114</v>
      </c>
      <c r="B27" s="3" t="s">
        <v>553</v>
      </c>
      <c r="C27" s="3" t="s">
        <v>529</v>
      </c>
      <c r="D27" s="3" t="s">
        <v>511</v>
      </c>
      <c r="E27" s="6"/>
      <c r="F27" s="3" t="s">
        <v>532</v>
      </c>
      <c r="G27" s="5"/>
    </row>
    <row r="28" customFormat="false" ht="15" hidden="false" customHeight="false" outlineLevel="0" collapsed="false">
      <c r="A28" s="3" t="s">
        <v>114</v>
      </c>
      <c r="B28" s="3" t="s">
        <v>554</v>
      </c>
      <c r="C28" s="3" t="s">
        <v>531</v>
      </c>
      <c r="D28" s="3" t="s">
        <v>511</v>
      </c>
      <c r="E28" s="6"/>
      <c r="F28" s="3" t="s">
        <v>532</v>
      </c>
      <c r="G28" s="5"/>
    </row>
    <row r="29" customFormat="false" ht="15" hidden="false" customHeight="false" outlineLevel="0" collapsed="false">
      <c r="A29" s="3" t="s">
        <v>121</v>
      </c>
      <c r="B29" s="3" t="s">
        <v>555</v>
      </c>
      <c r="C29" s="3" t="s">
        <v>535</v>
      </c>
      <c r="D29" s="3" t="s">
        <v>514</v>
      </c>
      <c r="E29" s="6" t="n">
        <v>150</v>
      </c>
      <c r="F29" s="3" t="s">
        <v>532</v>
      </c>
      <c r="G29" s="5" t="n">
        <v>46041</v>
      </c>
    </row>
    <row r="30" customFormat="false" ht="15" hidden="false" customHeight="false" outlineLevel="0" collapsed="false">
      <c r="A30" s="3" t="s">
        <v>121</v>
      </c>
      <c r="B30" s="3" t="s">
        <v>556</v>
      </c>
      <c r="C30" s="3" t="s">
        <v>510</v>
      </c>
      <c r="D30" s="3" t="s">
        <v>514</v>
      </c>
      <c r="E30" s="6" t="n">
        <v>120</v>
      </c>
      <c r="F30" s="3" t="s">
        <v>532</v>
      </c>
      <c r="G30" s="5" t="n">
        <v>46056</v>
      </c>
    </row>
    <row r="31" customFormat="false" ht="15" hidden="false" customHeight="false" outlineLevel="0" collapsed="false">
      <c r="A31" s="3" t="s">
        <v>125</v>
      </c>
      <c r="B31" s="3" t="s">
        <v>557</v>
      </c>
      <c r="C31" s="3" t="s">
        <v>522</v>
      </c>
      <c r="D31" s="3" t="s">
        <v>520</v>
      </c>
      <c r="E31" s="6"/>
      <c r="F31" s="3" t="s">
        <v>532</v>
      </c>
      <c r="G31" s="5"/>
    </row>
    <row r="32" customFormat="false" ht="15" hidden="false" customHeight="false" outlineLevel="0" collapsed="false">
      <c r="A32" s="3" t="s">
        <v>130</v>
      </c>
      <c r="B32" s="3" t="s">
        <v>558</v>
      </c>
      <c r="C32" s="3" t="s">
        <v>543</v>
      </c>
      <c r="D32" s="3" t="s">
        <v>511</v>
      </c>
      <c r="E32" s="6"/>
      <c r="F32" s="3" t="s">
        <v>512</v>
      </c>
      <c r="G32" s="5"/>
    </row>
    <row r="33" customFormat="false" ht="15" hidden="false" customHeight="false" outlineLevel="0" collapsed="false">
      <c r="A33" s="3" t="s">
        <v>136</v>
      </c>
      <c r="B33" s="3" t="s">
        <v>559</v>
      </c>
      <c r="C33" s="3" t="s">
        <v>518</v>
      </c>
      <c r="D33" s="3" t="s">
        <v>514</v>
      </c>
      <c r="E33" s="6" t="n">
        <v>510</v>
      </c>
      <c r="F33" s="3" t="s">
        <v>532</v>
      </c>
      <c r="G33" s="5" t="n">
        <v>46052</v>
      </c>
    </row>
    <row r="34" customFormat="false" ht="15" hidden="false" customHeight="false" outlineLevel="0" collapsed="false">
      <c r="A34" s="3" t="s">
        <v>136</v>
      </c>
      <c r="B34" s="3" t="s">
        <v>560</v>
      </c>
      <c r="C34" s="3" t="s">
        <v>548</v>
      </c>
      <c r="D34" s="3" t="s">
        <v>514</v>
      </c>
      <c r="E34" s="6" t="n">
        <v>220</v>
      </c>
      <c r="F34" s="3" t="s">
        <v>532</v>
      </c>
      <c r="G34" s="5" t="n">
        <v>46061</v>
      </c>
    </row>
    <row r="35" customFormat="false" ht="15" hidden="false" customHeight="false" outlineLevel="0" collapsed="false">
      <c r="A35" s="3" t="s">
        <v>136</v>
      </c>
      <c r="B35" s="3" t="s">
        <v>561</v>
      </c>
      <c r="C35" s="3" t="s">
        <v>538</v>
      </c>
      <c r="D35" s="3" t="s">
        <v>520</v>
      </c>
      <c r="E35" s="6"/>
      <c r="F35" s="3" t="s">
        <v>532</v>
      </c>
      <c r="G35" s="5"/>
    </row>
    <row r="36" customFormat="false" ht="15" hidden="false" customHeight="false" outlineLevel="0" collapsed="false">
      <c r="A36" s="3" t="s">
        <v>136</v>
      </c>
      <c r="B36" s="3" t="s">
        <v>562</v>
      </c>
      <c r="C36" s="3" t="s">
        <v>535</v>
      </c>
      <c r="D36" s="3" t="s">
        <v>520</v>
      </c>
      <c r="E36" s="6"/>
      <c r="F36" s="3" t="s">
        <v>532</v>
      </c>
      <c r="G36" s="5"/>
    </row>
    <row r="37" customFormat="false" ht="15" hidden="false" customHeight="false" outlineLevel="0" collapsed="false">
      <c r="A37" s="3" t="s">
        <v>136</v>
      </c>
      <c r="B37" s="3" t="s">
        <v>563</v>
      </c>
      <c r="C37" s="3" t="s">
        <v>564</v>
      </c>
      <c r="D37" s="3" t="s">
        <v>514</v>
      </c>
      <c r="E37" s="6" t="n">
        <v>110</v>
      </c>
      <c r="F37" s="3" t="s">
        <v>532</v>
      </c>
      <c r="G37" s="5" t="n">
        <v>46064</v>
      </c>
    </row>
    <row r="38" customFormat="false" ht="15" hidden="false" customHeight="false" outlineLevel="0" collapsed="false">
      <c r="A38" s="3" t="s">
        <v>139</v>
      </c>
      <c r="B38" s="3" t="s">
        <v>565</v>
      </c>
      <c r="C38" s="3" t="s">
        <v>538</v>
      </c>
      <c r="D38" s="3" t="s">
        <v>514</v>
      </c>
      <c r="E38" s="6" t="n">
        <v>165</v>
      </c>
      <c r="F38" s="3" t="s">
        <v>512</v>
      </c>
      <c r="G38" s="5" t="n">
        <v>46029</v>
      </c>
    </row>
    <row r="39" customFormat="false" ht="15" hidden="false" customHeight="false" outlineLevel="0" collapsed="false">
      <c r="A39" s="3" t="s">
        <v>139</v>
      </c>
      <c r="B39" s="3" t="s">
        <v>566</v>
      </c>
      <c r="C39" s="3" t="s">
        <v>522</v>
      </c>
      <c r="D39" s="3" t="s">
        <v>514</v>
      </c>
      <c r="E39" s="6" t="n">
        <v>45</v>
      </c>
      <c r="F39" s="3" t="s">
        <v>512</v>
      </c>
      <c r="G39" s="5" t="n">
        <v>46052</v>
      </c>
    </row>
    <row r="40" customFormat="false" ht="15" hidden="false" customHeight="false" outlineLevel="0" collapsed="false">
      <c r="A40" s="3" t="s">
        <v>139</v>
      </c>
      <c r="B40" s="3" t="s">
        <v>567</v>
      </c>
      <c r="C40" s="3" t="s">
        <v>531</v>
      </c>
      <c r="D40" s="3" t="s">
        <v>511</v>
      </c>
      <c r="E40" s="6"/>
      <c r="F40" s="3" t="s">
        <v>512</v>
      </c>
      <c r="G40" s="5"/>
    </row>
    <row r="41" customFormat="false" ht="15" hidden="false" customHeight="false" outlineLevel="0" collapsed="false">
      <c r="A41" s="3" t="s">
        <v>139</v>
      </c>
      <c r="B41" s="3" t="s">
        <v>568</v>
      </c>
      <c r="C41" s="3" t="s">
        <v>552</v>
      </c>
      <c r="D41" s="3" t="s">
        <v>511</v>
      </c>
      <c r="E41" s="6"/>
      <c r="F41" s="3" t="s">
        <v>512</v>
      </c>
      <c r="G41" s="5"/>
    </row>
    <row r="42" customFormat="false" ht="15" hidden="false" customHeight="false" outlineLevel="0" collapsed="false">
      <c r="A42" s="3" t="s">
        <v>142</v>
      </c>
      <c r="B42" s="3" t="s">
        <v>569</v>
      </c>
      <c r="C42" s="3" t="s">
        <v>522</v>
      </c>
      <c r="D42" s="3" t="s">
        <v>514</v>
      </c>
      <c r="E42" s="6" t="n">
        <v>360</v>
      </c>
      <c r="F42" s="3" t="s">
        <v>532</v>
      </c>
      <c r="G42" s="5" t="n">
        <v>46039</v>
      </c>
    </row>
    <row r="43" customFormat="false" ht="15" hidden="false" customHeight="false" outlineLevel="0" collapsed="false">
      <c r="A43" s="3" t="s">
        <v>142</v>
      </c>
      <c r="B43" s="3" t="s">
        <v>570</v>
      </c>
      <c r="C43" s="3" t="s">
        <v>529</v>
      </c>
      <c r="D43" s="3" t="s">
        <v>514</v>
      </c>
      <c r="E43" s="6" t="n">
        <v>270</v>
      </c>
      <c r="F43" s="3" t="s">
        <v>532</v>
      </c>
      <c r="G43" s="5" t="n">
        <v>46045</v>
      </c>
    </row>
    <row r="44" customFormat="false" ht="15" hidden="false" customHeight="false" outlineLevel="0" collapsed="false">
      <c r="A44" s="3" t="s">
        <v>145</v>
      </c>
      <c r="B44" s="3" t="s">
        <v>571</v>
      </c>
      <c r="C44" s="3" t="s">
        <v>548</v>
      </c>
      <c r="D44" s="3" t="s">
        <v>514</v>
      </c>
      <c r="E44" s="6" t="n">
        <v>360</v>
      </c>
      <c r="F44" s="3" t="s">
        <v>532</v>
      </c>
      <c r="G44" s="5" t="n">
        <v>46066</v>
      </c>
    </row>
    <row r="45" customFormat="false" ht="15" hidden="false" customHeight="false" outlineLevel="0" collapsed="false">
      <c r="A45" s="3" t="s">
        <v>145</v>
      </c>
      <c r="B45" s="3" t="s">
        <v>572</v>
      </c>
      <c r="C45" s="3" t="s">
        <v>564</v>
      </c>
      <c r="D45" s="3" t="s">
        <v>520</v>
      </c>
      <c r="E45" s="6"/>
      <c r="F45" s="3" t="s">
        <v>532</v>
      </c>
      <c r="G45" s="5"/>
    </row>
    <row r="46" customFormat="false" ht="15" hidden="false" customHeight="false" outlineLevel="0" collapsed="false">
      <c r="A46" s="3" t="s">
        <v>147</v>
      </c>
      <c r="B46" s="3" t="s">
        <v>573</v>
      </c>
      <c r="C46" s="3" t="s">
        <v>522</v>
      </c>
      <c r="D46" s="3" t="s">
        <v>520</v>
      </c>
      <c r="E46" s="6"/>
      <c r="F46" s="3" t="s">
        <v>512</v>
      </c>
      <c r="G46" s="5"/>
    </row>
    <row r="47" customFormat="false" ht="15" hidden="false" customHeight="false" outlineLevel="0" collapsed="false">
      <c r="A47" s="3" t="s">
        <v>147</v>
      </c>
      <c r="B47" s="3" t="s">
        <v>574</v>
      </c>
      <c r="C47" s="3" t="s">
        <v>575</v>
      </c>
      <c r="D47" s="3" t="s">
        <v>514</v>
      </c>
      <c r="E47" s="6" t="n">
        <v>150</v>
      </c>
      <c r="F47" s="3" t="s">
        <v>512</v>
      </c>
      <c r="G47" s="5" t="n">
        <v>46008</v>
      </c>
    </row>
    <row r="48" customFormat="false" ht="15" hidden="false" customHeight="false" outlineLevel="0" collapsed="false">
      <c r="A48" s="3" t="s">
        <v>147</v>
      </c>
      <c r="B48" s="3" t="s">
        <v>576</v>
      </c>
      <c r="C48" s="3" t="s">
        <v>529</v>
      </c>
      <c r="D48" s="3" t="s">
        <v>520</v>
      </c>
      <c r="E48" s="6"/>
      <c r="F48" s="3" t="s">
        <v>512</v>
      </c>
      <c r="G48" s="5"/>
    </row>
    <row r="49" customFormat="false" ht="15" hidden="false" customHeight="false" outlineLevel="0" collapsed="false">
      <c r="A49" s="3" t="s">
        <v>147</v>
      </c>
      <c r="B49" s="3" t="s">
        <v>577</v>
      </c>
      <c r="C49" s="3" t="s">
        <v>535</v>
      </c>
      <c r="D49" s="3" t="s">
        <v>514</v>
      </c>
      <c r="E49" s="6" t="n">
        <v>80</v>
      </c>
      <c r="F49" s="3" t="s">
        <v>512</v>
      </c>
      <c r="G49" s="5" t="n">
        <v>46025</v>
      </c>
    </row>
    <row r="50" customFormat="false" ht="15" hidden="false" customHeight="false" outlineLevel="0" collapsed="false">
      <c r="A50" s="3" t="s">
        <v>147</v>
      </c>
      <c r="B50" s="3" t="s">
        <v>578</v>
      </c>
      <c r="C50" s="3" t="s">
        <v>518</v>
      </c>
      <c r="D50" s="3" t="s">
        <v>511</v>
      </c>
      <c r="E50" s="6"/>
      <c r="F50" s="3" t="s">
        <v>512</v>
      </c>
      <c r="G50" s="5"/>
    </row>
    <row r="51" customFormat="false" ht="15" hidden="false" customHeight="false" outlineLevel="0" collapsed="false">
      <c r="A51" s="3" t="s">
        <v>147</v>
      </c>
      <c r="B51" s="3" t="s">
        <v>579</v>
      </c>
      <c r="C51" s="3" t="s">
        <v>548</v>
      </c>
      <c r="D51" s="3" t="s">
        <v>514</v>
      </c>
      <c r="E51" s="6" t="n">
        <v>135</v>
      </c>
      <c r="F51" s="3" t="s">
        <v>512</v>
      </c>
      <c r="G51" s="5" t="n">
        <v>46067</v>
      </c>
    </row>
    <row r="52" customFormat="false" ht="15" hidden="false" customHeight="false" outlineLevel="0" collapsed="false">
      <c r="A52" s="3" t="s">
        <v>153</v>
      </c>
      <c r="B52" s="3" t="s">
        <v>580</v>
      </c>
      <c r="C52" s="3" t="s">
        <v>540</v>
      </c>
      <c r="D52" s="3" t="s">
        <v>514</v>
      </c>
      <c r="E52" s="6" t="n">
        <v>135</v>
      </c>
      <c r="F52" s="3" t="s">
        <v>512</v>
      </c>
      <c r="G52" s="5" t="n">
        <v>46082</v>
      </c>
    </row>
    <row r="53" customFormat="false" ht="15" hidden="false" customHeight="false" outlineLevel="0" collapsed="false">
      <c r="A53" s="3" t="s">
        <v>153</v>
      </c>
      <c r="B53" s="3" t="s">
        <v>581</v>
      </c>
      <c r="C53" s="3" t="s">
        <v>526</v>
      </c>
      <c r="D53" s="3" t="s">
        <v>514</v>
      </c>
      <c r="E53" s="6" t="n">
        <v>90</v>
      </c>
      <c r="F53" s="3" t="s">
        <v>512</v>
      </c>
      <c r="G53" s="5" t="n">
        <v>46051</v>
      </c>
    </row>
    <row r="54" customFormat="false" ht="15" hidden="false" customHeight="false" outlineLevel="0" collapsed="false">
      <c r="A54" s="3" t="s">
        <v>153</v>
      </c>
      <c r="B54" s="3" t="s">
        <v>582</v>
      </c>
      <c r="C54" s="3" t="s">
        <v>516</v>
      </c>
      <c r="D54" s="3" t="s">
        <v>514</v>
      </c>
      <c r="E54" s="6" t="n">
        <v>150</v>
      </c>
      <c r="F54" s="3" t="s">
        <v>512</v>
      </c>
      <c r="G54" s="5" t="n">
        <v>46075</v>
      </c>
    </row>
    <row r="55" customFormat="false" ht="15" hidden="false" customHeight="false" outlineLevel="0" collapsed="false">
      <c r="A55" s="3" t="s">
        <v>159</v>
      </c>
      <c r="B55" s="3" t="s">
        <v>583</v>
      </c>
      <c r="C55" s="3" t="s">
        <v>522</v>
      </c>
      <c r="D55" s="3" t="s">
        <v>514</v>
      </c>
      <c r="E55" s="6" t="n">
        <v>20</v>
      </c>
      <c r="F55" s="3" t="s">
        <v>512</v>
      </c>
      <c r="G55" s="5" t="n">
        <v>46041</v>
      </c>
    </row>
    <row r="56" customFormat="false" ht="15" hidden="false" customHeight="false" outlineLevel="0" collapsed="false">
      <c r="A56" s="3" t="s">
        <v>159</v>
      </c>
      <c r="B56" s="3" t="s">
        <v>584</v>
      </c>
      <c r="C56" s="3" t="s">
        <v>531</v>
      </c>
      <c r="D56" s="3" t="s">
        <v>520</v>
      </c>
      <c r="E56" s="6"/>
      <c r="F56" s="3" t="s">
        <v>512</v>
      </c>
      <c r="G56" s="5"/>
    </row>
    <row r="57" customFormat="false" ht="15" hidden="false" customHeight="false" outlineLevel="0" collapsed="false">
      <c r="A57" s="3" t="s">
        <v>159</v>
      </c>
      <c r="B57" s="3" t="s">
        <v>585</v>
      </c>
      <c r="C57" s="3" t="s">
        <v>510</v>
      </c>
      <c r="D57" s="3" t="s">
        <v>520</v>
      </c>
      <c r="E57" s="6"/>
      <c r="F57" s="3" t="s">
        <v>512</v>
      </c>
      <c r="G57" s="5"/>
    </row>
    <row r="58" customFormat="false" ht="15" hidden="false" customHeight="false" outlineLevel="0" collapsed="false">
      <c r="A58" s="3" t="s">
        <v>161</v>
      </c>
      <c r="B58" s="3" t="s">
        <v>586</v>
      </c>
      <c r="C58" s="3" t="s">
        <v>548</v>
      </c>
      <c r="D58" s="3" t="s">
        <v>514</v>
      </c>
      <c r="E58" s="6" t="n">
        <v>350</v>
      </c>
      <c r="F58" s="3" t="s">
        <v>532</v>
      </c>
      <c r="G58" s="5" t="n">
        <v>46040</v>
      </c>
    </row>
    <row r="59" customFormat="false" ht="15" hidden="false" customHeight="false" outlineLevel="0" collapsed="false">
      <c r="A59" s="3" t="s">
        <v>163</v>
      </c>
      <c r="B59" s="3" t="s">
        <v>587</v>
      </c>
      <c r="C59" s="3" t="s">
        <v>535</v>
      </c>
      <c r="D59" s="3" t="s">
        <v>514</v>
      </c>
      <c r="E59" s="6" t="n">
        <v>140</v>
      </c>
      <c r="F59" s="3" t="s">
        <v>512</v>
      </c>
      <c r="G59" s="5" t="n">
        <v>46019</v>
      </c>
    </row>
    <row r="60" customFormat="false" ht="15" hidden="false" customHeight="false" outlineLevel="0" collapsed="false">
      <c r="A60" s="3" t="s">
        <v>163</v>
      </c>
      <c r="B60" s="3" t="s">
        <v>588</v>
      </c>
      <c r="C60" s="3" t="s">
        <v>522</v>
      </c>
      <c r="D60" s="3" t="s">
        <v>514</v>
      </c>
      <c r="E60" s="6" t="n">
        <v>100</v>
      </c>
      <c r="F60" s="3" t="s">
        <v>512</v>
      </c>
      <c r="G60" s="5" t="n">
        <v>45992</v>
      </c>
    </row>
    <row r="61" customFormat="false" ht="15" hidden="false" customHeight="false" outlineLevel="0" collapsed="false">
      <c r="A61" s="3" t="s">
        <v>164</v>
      </c>
      <c r="B61" s="3" t="s">
        <v>589</v>
      </c>
      <c r="C61" s="3" t="s">
        <v>535</v>
      </c>
      <c r="D61" s="3" t="s">
        <v>514</v>
      </c>
      <c r="E61" s="6" t="n">
        <v>550</v>
      </c>
      <c r="F61" s="3" t="s">
        <v>532</v>
      </c>
      <c r="G61" s="5" t="n">
        <v>46041</v>
      </c>
    </row>
    <row r="62" customFormat="false" ht="15" hidden="false" customHeight="false" outlineLevel="0" collapsed="false">
      <c r="A62" s="3" t="s">
        <v>164</v>
      </c>
      <c r="B62" s="3" t="s">
        <v>590</v>
      </c>
      <c r="C62" s="3" t="s">
        <v>548</v>
      </c>
      <c r="D62" s="3" t="s">
        <v>514</v>
      </c>
      <c r="E62" s="6" t="n">
        <v>570</v>
      </c>
      <c r="F62" s="3" t="s">
        <v>532</v>
      </c>
      <c r="G62" s="5" t="n">
        <v>46039</v>
      </c>
    </row>
    <row r="63" customFormat="false" ht="15" hidden="false" customHeight="false" outlineLevel="0" collapsed="false">
      <c r="A63" s="3" t="s">
        <v>164</v>
      </c>
      <c r="B63" s="3" t="s">
        <v>591</v>
      </c>
      <c r="C63" s="3" t="s">
        <v>538</v>
      </c>
      <c r="D63" s="3" t="s">
        <v>520</v>
      </c>
      <c r="E63" s="6"/>
      <c r="F63" s="3" t="s">
        <v>532</v>
      </c>
      <c r="G63" s="5"/>
    </row>
    <row r="64" customFormat="false" ht="15" hidden="false" customHeight="false" outlineLevel="0" collapsed="false">
      <c r="A64" s="3" t="s">
        <v>164</v>
      </c>
      <c r="B64" s="3" t="s">
        <v>592</v>
      </c>
      <c r="C64" s="3" t="s">
        <v>518</v>
      </c>
      <c r="D64" s="3" t="s">
        <v>514</v>
      </c>
      <c r="E64" s="6" t="n">
        <v>100</v>
      </c>
      <c r="F64" s="3" t="s">
        <v>532</v>
      </c>
      <c r="G64" s="5" t="n">
        <v>46061</v>
      </c>
    </row>
    <row r="65" customFormat="false" ht="15" hidden="false" customHeight="false" outlineLevel="0" collapsed="false">
      <c r="A65" s="3" t="s">
        <v>166</v>
      </c>
      <c r="B65" s="3" t="s">
        <v>593</v>
      </c>
      <c r="C65" s="3" t="s">
        <v>529</v>
      </c>
      <c r="D65" s="3" t="s">
        <v>514</v>
      </c>
      <c r="E65" s="6" t="n">
        <v>180</v>
      </c>
      <c r="F65" s="3" t="s">
        <v>532</v>
      </c>
      <c r="G65" s="5" t="n">
        <v>46076</v>
      </c>
    </row>
    <row r="66" customFormat="false" ht="15" hidden="false" customHeight="false" outlineLevel="0" collapsed="false">
      <c r="A66" s="3" t="s">
        <v>167</v>
      </c>
      <c r="B66" s="3" t="s">
        <v>594</v>
      </c>
      <c r="C66" s="3" t="s">
        <v>535</v>
      </c>
      <c r="D66" s="3" t="s">
        <v>514</v>
      </c>
      <c r="E66" s="6" t="n">
        <v>180</v>
      </c>
      <c r="F66" s="3" t="s">
        <v>512</v>
      </c>
      <c r="G66" s="5" t="n">
        <v>46076</v>
      </c>
    </row>
    <row r="67" customFormat="false" ht="15" hidden="false" customHeight="false" outlineLevel="0" collapsed="false">
      <c r="A67" s="3" t="s">
        <v>167</v>
      </c>
      <c r="B67" s="3" t="s">
        <v>595</v>
      </c>
      <c r="C67" s="3" t="s">
        <v>524</v>
      </c>
      <c r="D67" s="3" t="s">
        <v>511</v>
      </c>
      <c r="E67" s="6"/>
      <c r="F67" s="3" t="s">
        <v>512</v>
      </c>
      <c r="G67" s="5"/>
    </row>
    <row r="68" customFormat="false" ht="15" hidden="false" customHeight="false" outlineLevel="0" collapsed="false">
      <c r="A68" s="3" t="s">
        <v>170</v>
      </c>
      <c r="B68" s="3" t="s">
        <v>596</v>
      </c>
      <c r="C68" s="3" t="s">
        <v>548</v>
      </c>
      <c r="D68" s="3" t="s">
        <v>511</v>
      </c>
      <c r="E68" s="6"/>
      <c r="F68" s="3" t="s">
        <v>597</v>
      </c>
      <c r="G68" s="5"/>
    </row>
    <row r="69" customFormat="false" ht="15" hidden="false" customHeight="false" outlineLevel="0" collapsed="false">
      <c r="A69" s="3" t="s">
        <v>170</v>
      </c>
      <c r="B69" s="3" t="s">
        <v>598</v>
      </c>
      <c r="C69" s="3" t="s">
        <v>535</v>
      </c>
      <c r="D69" s="3" t="s">
        <v>520</v>
      </c>
      <c r="E69" s="6"/>
      <c r="F69" s="3" t="s">
        <v>597</v>
      </c>
      <c r="G69" s="5"/>
    </row>
    <row r="70" customFormat="false" ht="15" hidden="false" customHeight="false" outlineLevel="0" collapsed="false">
      <c r="A70" s="3" t="s">
        <v>170</v>
      </c>
      <c r="B70" s="3" t="s">
        <v>599</v>
      </c>
      <c r="C70" s="3" t="s">
        <v>543</v>
      </c>
      <c r="D70" s="3" t="s">
        <v>514</v>
      </c>
      <c r="E70" s="6" t="n">
        <v>175</v>
      </c>
      <c r="F70" s="3" t="s">
        <v>597</v>
      </c>
      <c r="G70" s="5" t="n">
        <v>46081</v>
      </c>
    </row>
    <row r="71" customFormat="false" ht="15" hidden="false" customHeight="false" outlineLevel="0" collapsed="false">
      <c r="A71" s="3" t="s">
        <v>170</v>
      </c>
      <c r="B71" s="3" t="s">
        <v>600</v>
      </c>
      <c r="C71" s="3" t="s">
        <v>524</v>
      </c>
      <c r="D71" s="3" t="s">
        <v>514</v>
      </c>
      <c r="E71" s="6" t="n">
        <v>200</v>
      </c>
      <c r="F71" s="3" t="s">
        <v>597</v>
      </c>
      <c r="G71" s="5" t="n">
        <v>46031</v>
      </c>
    </row>
    <row r="72" customFormat="false" ht="15" hidden="false" customHeight="false" outlineLevel="0" collapsed="false">
      <c r="A72" s="3" t="s">
        <v>170</v>
      </c>
      <c r="B72" s="3" t="s">
        <v>601</v>
      </c>
      <c r="C72" s="3" t="s">
        <v>575</v>
      </c>
      <c r="D72" s="3" t="s">
        <v>514</v>
      </c>
      <c r="E72" s="6" t="n">
        <v>140</v>
      </c>
      <c r="F72" s="3" t="s">
        <v>597</v>
      </c>
      <c r="G72" s="5" t="n">
        <v>46045</v>
      </c>
    </row>
    <row r="73" customFormat="false" ht="15" hidden="false" customHeight="false" outlineLevel="0" collapsed="false">
      <c r="A73" s="3" t="s">
        <v>179</v>
      </c>
      <c r="B73" s="3" t="s">
        <v>602</v>
      </c>
      <c r="C73" s="3" t="s">
        <v>552</v>
      </c>
      <c r="D73" s="3" t="s">
        <v>514</v>
      </c>
      <c r="E73" s="6" t="n">
        <v>580</v>
      </c>
      <c r="F73" s="3" t="s">
        <v>532</v>
      </c>
      <c r="G73" s="5" t="n">
        <v>46019</v>
      </c>
    </row>
    <row r="74" customFormat="false" ht="15" hidden="false" customHeight="false" outlineLevel="0" collapsed="false">
      <c r="A74" s="3" t="s">
        <v>179</v>
      </c>
      <c r="B74" s="3" t="s">
        <v>603</v>
      </c>
      <c r="C74" s="3" t="s">
        <v>543</v>
      </c>
      <c r="D74" s="3" t="s">
        <v>511</v>
      </c>
      <c r="E74" s="6"/>
      <c r="F74" s="3" t="s">
        <v>532</v>
      </c>
      <c r="G74" s="5"/>
    </row>
    <row r="75" customFormat="false" ht="15" hidden="false" customHeight="false" outlineLevel="0" collapsed="false">
      <c r="A75" s="3" t="s">
        <v>179</v>
      </c>
      <c r="B75" s="3" t="s">
        <v>604</v>
      </c>
      <c r="C75" s="3" t="s">
        <v>538</v>
      </c>
      <c r="D75" s="3" t="s">
        <v>514</v>
      </c>
      <c r="E75" s="6" t="n">
        <v>500</v>
      </c>
      <c r="F75" s="3" t="s">
        <v>532</v>
      </c>
      <c r="G75" s="5" t="n">
        <v>46058</v>
      </c>
    </row>
    <row r="76" customFormat="false" ht="15" hidden="false" customHeight="false" outlineLevel="0" collapsed="false">
      <c r="A76" s="3" t="s">
        <v>180</v>
      </c>
      <c r="B76" s="3" t="s">
        <v>605</v>
      </c>
      <c r="C76" s="3" t="s">
        <v>538</v>
      </c>
      <c r="D76" s="3" t="s">
        <v>514</v>
      </c>
      <c r="E76" s="6" t="n">
        <v>10</v>
      </c>
      <c r="F76" s="3" t="s">
        <v>512</v>
      </c>
      <c r="G76" s="5" t="n">
        <v>46030</v>
      </c>
    </row>
    <row r="77" customFormat="false" ht="15" hidden="false" customHeight="false" outlineLevel="0" collapsed="false">
      <c r="A77" s="3" t="s">
        <v>180</v>
      </c>
      <c r="B77" s="3" t="s">
        <v>606</v>
      </c>
      <c r="C77" s="3" t="s">
        <v>526</v>
      </c>
      <c r="D77" s="3" t="s">
        <v>514</v>
      </c>
      <c r="E77" s="6" t="n">
        <v>55</v>
      </c>
      <c r="F77" s="3" t="s">
        <v>512</v>
      </c>
      <c r="G77" s="5" t="n">
        <v>46026</v>
      </c>
    </row>
    <row r="78" customFormat="false" ht="15" hidden="false" customHeight="false" outlineLevel="0" collapsed="false">
      <c r="A78" s="3" t="s">
        <v>180</v>
      </c>
      <c r="B78" s="3" t="s">
        <v>607</v>
      </c>
      <c r="C78" s="3" t="s">
        <v>510</v>
      </c>
      <c r="D78" s="3" t="s">
        <v>514</v>
      </c>
      <c r="E78" s="6" t="n">
        <v>160</v>
      </c>
      <c r="F78" s="3" t="s">
        <v>512</v>
      </c>
      <c r="G78" s="5" t="n">
        <v>46029</v>
      </c>
    </row>
    <row r="79" customFormat="false" ht="15" hidden="false" customHeight="false" outlineLevel="0" collapsed="false">
      <c r="A79" s="3" t="s">
        <v>182</v>
      </c>
      <c r="B79" s="3" t="s">
        <v>608</v>
      </c>
      <c r="C79" s="3" t="s">
        <v>548</v>
      </c>
      <c r="D79" s="3" t="s">
        <v>511</v>
      </c>
      <c r="E79" s="6"/>
      <c r="F79" s="3" t="s">
        <v>512</v>
      </c>
      <c r="G79" s="5"/>
    </row>
    <row r="80" customFormat="false" ht="15" hidden="false" customHeight="false" outlineLevel="0" collapsed="false">
      <c r="A80" s="3" t="s">
        <v>182</v>
      </c>
      <c r="B80" s="3" t="s">
        <v>609</v>
      </c>
      <c r="C80" s="3" t="s">
        <v>543</v>
      </c>
      <c r="D80" s="3" t="s">
        <v>511</v>
      </c>
      <c r="E80" s="6"/>
      <c r="F80" s="3" t="s">
        <v>512</v>
      </c>
      <c r="G80" s="5"/>
    </row>
    <row r="81" customFormat="false" ht="15" hidden="false" customHeight="false" outlineLevel="0" collapsed="false">
      <c r="A81" s="3" t="s">
        <v>184</v>
      </c>
      <c r="B81" s="3" t="s">
        <v>610</v>
      </c>
      <c r="C81" s="3" t="s">
        <v>526</v>
      </c>
      <c r="D81" s="3" t="s">
        <v>514</v>
      </c>
      <c r="E81" s="6" t="n">
        <v>45</v>
      </c>
      <c r="F81" s="3" t="s">
        <v>512</v>
      </c>
      <c r="G81" s="5" t="n">
        <v>46004</v>
      </c>
    </row>
    <row r="82" customFormat="false" ht="15" hidden="false" customHeight="false" outlineLevel="0" collapsed="false">
      <c r="A82" s="3" t="s">
        <v>184</v>
      </c>
      <c r="B82" s="3" t="s">
        <v>611</v>
      </c>
      <c r="C82" s="3" t="s">
        <v>538</v>
      </c>
      <c r="D82" s="3" t="s">
        <v>514</v>
      </c>
      <c r="E82" s="6" t="n">
        <v>115</v>
      </c>
      <c r="F82" s="3" t="s">
        <v>512</v>
      </c>
      <c r="G82" s="5" t="n">
        <v>45990</v>
      </c>
    </row>
    <row r="83" customFormat="false" ht="15" hidden="false" customHeight="false" outlineLevel="0" collapsed="false">
      <c r="A83" s="3" t="s">
        <v>184</v>
      </c>
      <c r="B83" s="3" t="s">
        <v>612</v>
      </c>
      <c r="C83" s="3" t="s">
        <v>543</v>
      </c>
      <c r="D83" s="3" t="s">
        <v>520</v>
      </c>
      <c r="E83" s="6"/>
      <c r="F83" s="3" t="s">
        <v>512</v>
      </c>
      <c r="G83" s="5"/>
    </row>
    <row r="84" customFormat="false" ht="15" hidden="false" customHeight="false" outlineLevel="0" collapsed="false">
      <c r="A84" s="3" t="s">
        <v>184</v>
      </c>
      <c r="B84" s="3" t="s">
        <v>613</v>
      </c>
      <c r="C84" s="3" t="s">
        <v>531</v>
      </c>
      <c r="D84" s="3" t="s">
        <v>514</v>
      </c>
      <c r="E84" s="6" t="n">
        <v>40</v>
      </c>
      <c r="F84" s="3" t="s">
        <v>512</v>
      </c>
      <c r="G84" s="5" t="n">
        <v>45998</v>
      </c>
    </row>
    <row r="85" customFormat="false" ht="15" hidden="false" customHeight="false" outlineLevel="0" collapsed="false">
      <c r="A85" s="3" t="s">
        <v>187</v>
      </c>
      <c r="B85" s="3" t="s">
        <v>614</v>
      </c>
      <c r="C85" s="3" t="s">
        <v>540</v>
      </c>
      <c r="D85" s="3" t="s">
        <v>514</v>
      </c>
      <c r="E85" s="6" t="n">
        <v>390</v>
      </c>
      <c r="F85" s="3" t="s">
        <v>532</v>
      </c>
      <c r="G85" s="5" t="n">
        <v>46062</v>
      </c>
    </row>
    <row r="86" customFormat="false" ht="15" hidden="false" customHeight="false" outlineLevel="0" collapsed="false">
      <c r="A86" s="3" t="s">
        <v>187</v>
      </c>
      <c r="B86" s="3" t="s">
        <v>615</v>
      </c>
      <c r="C86" s="3" t="s">
        <v>524</v>
      </c>
      <c r="D86" s="3" t="s">
        <v>514</v>
      </c>
      <c r="E86" s="6" t="n">
        <v>150</v>
      </c>
      <c r="F86" s="3" t="s">
        <v>532</v>
      </c>
      <c r="G86" s="5" t="n">
        <v>46060</v>
      </c>
    </row>
    <row r="87" customFormat="false" ht="15" hidden="false" customHeight="false" outlineLevel="0" collapsed="false">
      <c r="A87" s="3" t="s">
        <v>187</v>
      </c>
      <c r="B87" s="3" t="s">
        <v>616</v>
      </c>
      <c r="C87" s="3" t="s">
        <v>531</v>
      </c>
      <c r="D87" s="3" t="s">
        <v>511</v>
      </c>
      <c r="E87" s="6"/>
      <c r="F87" s="3" t="s">
        <v>532</v>
      </c>
      <c r="G87" s="5"/>
    </row>
    <row r="88" customFormat="false" ht="15" hidden="false" customHeight="false" outlineLevel="0" collapsed="false">
      <c r="A88" s="3" t="s">
        <v>188</v>
      </c>
      <c r="B88" s="3" t="s">
        <v>617</v>
      </c>
      <c r="C88" s="3" t="s">
        <v>552</v>
      </c>
      <c r="D88" s="3" t="s">
        <v>520</v>
      </c>
      <c r="E88" s="6"/>
      <c r="F88" s="3" t="s">
        <v>512</v>
      </c>
      <c r="G88" s="5"/>
    </row>
    <row r="89" customFormat="false" ht="15" hidden="false" customHeight="false" outlineLevel="0" collapsed="false">
      <c r="A89" s="3" t="s">
        <v>188</v>
      </c>
      <c r="B89" s="3" t="s">
        <v>618</v>
      </c>
      <c r="C89" s="3" t="s">
        <v>524</v>
      </c>
      <c r="D89" s="3" t="s">
        <v>511</v>
      </c>
      <c r="E89" s="6"/>
      <c r="F89" s="3" t="s">
        <v>512</v>
      </c>
      <c r="G89" s="5"/>
    </row>
    <row r="90" customFormat="false" ht="15" hidden="false" customHeight="false" outlineLevel="0" collapsed="false">
      <c r="A90" s="3" t="s">
        <v>188</v>
      </c>
      <c r="B90" s="3" t="s">
        <v>619</v>
      </c>
      <c r="C90" s="3" t="s">
        <v>575</v>
      </c>
      <c r="D90" s="3" t="s">
        <v>511</v>
      </c>
      <c r="E90" s="6"/>
      <c r="F90" s="3" t="s">
        <v>512</v>
      </c>
      <c r="G90" s="5"/>
    </row>
    <row r="91" customFormat="false" ht="15" hidden="false" customHeight="false" outlineLevel="0" collapsed="false">
      <c r="A91" s="3" t="s">
        <v>191</v>
      </c>
      <c r="B91" s="3" t="s">
        <v>620</v>
      </c>
      <c r="C91" s="3" t="s">
        <v>510</v>
      </c>
      <c r="D91" s="3" t="s">
        <v>514</v>
      </c>
      <c r="E91" s="6" t="n">
        <v>270</v>
      </c>
      <c r="F91" s="3" t="s">
        <v>532</v>
      </c>
      <c r="G91" s="5" t="n">
        <v>46002</v>
      </c>
    </row>
    <row r="92" customFormat="false" ht="15" hidden="false" customHeight="false" outlineLevel="0" collapsed="false">
      <c r="A92" s="3" t="s">
        <v>191</v>
      </c>
      <c r="B92" s="3" t="s">
        <v>621</v>
      </c>
      <c r="C92" s="3" t="s">
        <v>543</v>
      </c>
      <c r="D92" s="3" t="s">
        <v>514</v>
      </c>
      <c r="E92" s="6" t="n">
        <v>210</v>
      </c>
      <c r="F92" s="3" t="s">
        <v>532</v>
      </c>
      <c r="G92" s="5" t="n">
        <v>46050</v>
      </c>
    </row>
    <row r="93" customFormat="false" ht="15" hidden="false" customHeight="false" outlineLevel="0" collapsed="false">
      <c r="A93" s="3" t="s">
        <v>191</v>
      </c>
      <c r="B93" s="3" t="s">
        <v>622</v>
      </c>
      <c r="C93" s="3" t="s">
        <v>535</v>
      </c>
      <c r="D93" s="3" t="s">
        <v>511</v>
      </c>
      <c r="E93" s="6"/>
      <c r="F93" s="3" t="s">
        <v>532</v>
      </c>
      <c r="G93" s="5"/>
    </row>
    <row r="94" customFormat="false" ht="15" hidden="false" customHeight="false" outlineLevel="0" collapsed="false">
      <c r="A94" s="3" t="s">
        <v>191</v>
      </c>
      <c r="B94" s="3" t="s">
        <v>623</v>
      </c>
      <c r="C94" s="3" t="s">
        <v>524</v>
      </c>
      <c r="D94" s="3" t="s">
        <v>514</v>
      </c>
      <c r="E94" s="6" t="n">
        <v>110</v>
      </c>
      <c r="F94" s="3" t="s">
        <v>532</v>
      </c>
      <c r="G94" s="5" t="n">
        <v>46042</v>
      </c>
    </row>
    <row r="95" customFormat="false" ht="15" hidden="false" customHeight="false" outlineLevel="0" collapsed="false">
      <c r="A95" s="3" t="s">
        <v>191</v>
      </c>
      <c r="B95" s="3" t="s">
        <v>624</v>
      </c>
      <c r="C95" s="3" t="s">
        <v>540</v>
      </c>
      <c r="D95" s="3" t="s">
        <v>514</v>
      </c>
      <c r="E95" s="6" t="n">
        <v>150</v>
      </c>
      <c r="F95" s="3" t="s">
        <v>532</v>
      </c>
      <c r="G95" s="5" t="n">
        <v>46036</v>
      </c>
    </row>
    <row r="96" customFormat="false" ht="15" hidden="false" customHeight="false" outlineLevel="0" collapsed="false">
      <c r="A96" s="3" t="s">
        <v>191</v>
      </c>
      <c r="B96" s="3" t="s">
        <v>625</v>
      </c>
      <c r="C96" s="3" t="s">
        <v>516</v>
      </c>
      <c r="D96" s="3" t="s">
        <v>514</v>
      </c>
      <c r="E96" s="6" t="n">
        <v>440</v>
      </c>
      <c r="F96" s="3" t="s">
        <v>532</v>
      </c>
      <c r="G96" s="5" t="n">
        <v>46031</v>
      </c>
    </row>
    <row r="97" customFormat="false" ht="15" hidden="false" customHeight="false" outlineLevel="0" collapsed="false">
      <c r="A97" s="3" t="s">
        <v>192</v>
      </c>
      <c r="B97" s="3" t="s">
        <v>626</v>
      </c>
      <c r="C97" s="3" t="s">
        <v>552</v>
      </c>
      <c r="D97" s="3" t="s">
        <v>514</v>
      </c>
      <c r="E97" s="6" t="n">
        <v>460</v>
      </c>
      <c r="F97" s="3" t="s">
        <v>532</v>
      </c>
      <c r="G97" s="5" t="n">
        <v>45987</v>
      </c>
    </row>
    <row r="98" customFormat="false" ht="15" hidden="false" customHeight="false" outlineLevel="0" collapsed="false">
      <c r="A98" s="3" t="s">
        <v>192</v>
      </c>
      <c r="B98" s="3" t="s">
        <v>627</v>
      </c>
      <c r="C98" s="3" t="s">
        <v>564</v>
      </c>
      <c r="D98" s="3" t="s">
        <v>514</v>
      </c>
      <c r="E98" s="6" t="n">
        <v>430</v>
      </c>
      <c r="F98" s="3" t="s">
        <v>532</v>
      </c>
      <c r="G98" s="5" t="n">
        <v>45994</v>
      </c>
    </row>
    <row r="99" customFormat="false" ht="15" hidden="false" customHeight="false" outlineLevel="0" collapsed="false">
      <c r="A99" s="3" t="s">
        <v>192</v>
      </c>
      <c r="B99" s="3" t="s">
        <v>628</v>
      </c>
      <c r="C99" s="3" t="s">
        <v>540</v>
      </c>
      <c r="D99" s="3" t="s">
        <v>520</v>
      </c>
      <c r="E99" s="6"/>
      <c r="F99" s="3" t="s">
        <v>532</v>
      </c>
      <c r="G99" s="5"/>
    </row>
    <row r="100" customFormat="false" ht="15" hidden="false" customHeight="false" outlineLevel="0" collapsed="false">
      <c r="A100" s="3" t="s">
        <v>192</v>
      </c>
      <c r="B100" s="3" t="s">
        <v>629</v>
      </c>
      <c r="C100" s="3" t="s">
        <v>548</v>
      </c>
      <c r="D100" s="3" t="s">
        <v>511</v>
      </c>
      <c r="E100" s="6"/>
      <c r="F100" s="3" t="s">
        <v>532</v>
      </c>
      <c r="G100" s="5"/>
    </row>
    <row r="101" customFormat="false" ht="15" hidden="false" customHeight="false" outlineLevel="0" collapsed="false">
      <c r="A101" s="3" t="s">
        <v>192</v>
      </c>
      <c r="B101" s="3" t="s">
        <v>630</v>
      </c>
      <c r="C101" s="3" t="s">
        <v>531</v>
      </c>
      <c r="D101" s="3" t="s">
        <v>514</v>
      </c>
      <c r="E101" s="6" t="n">
        <v>160</v>
      </c>
      <c r="F101" s="3" t="s">
        <v>532</v>
      </c>
      <c r="G101" s="5" t="n">
        <v>45993</v>
      </c>
    </row>
    <row r="102" customFormat="false" ht="15" hidden="false" customHeight="false" outlineLevel="0" collapsed="false">
      <c r="A102" s="3" t="s">
        <v>192</v>
      </c>
      <c r="B102" s="3" t="s">
        <v>631</v>
      </c>
      <c r="C102" s="3" t="s">
        <v>518</v>
      </c>
      <c r="D102" s="3" t="s">
        <v>514</v>
      </c>
      <c r="E102" s="6" t="n">
        <v>360</v>
      </c>
      <c r="F102" s="3" t="s">
        <v>532</v>
      </c>
      <c r="G102" s="5" t="n">
        <v>46004</v>
      </c>
    </row>
    <row r="103" customFormat="false" ht="15" hidden="false" customHeight="false" outlineLevel="0" collapsed="false">
      <c r="A103" s="3" t="s">
        <v>193</v>
      </c>
      <c r="B103" s="3" t="s">
        <v>632</v>
      </c>
      <c r="C103" s="3" t="s">
        <v>526</v>
      </c>
      <c r="D103" s="3" t="s">
        <v>511</v>
      </c>
      <c r="E103" s="6"/>
      <c r="F103" s="3" t="s">
        <v>512</v>
      </c>
      <c r="G103" s="5"/>
    </row>
    <row r="104" customFormat="false" ht="15" hidden="false" customHeight="false" outlineLevel="0" collapsed="false">
      <c r="A104" s="3" t="s">
        <v>193</v>
      </c>
      <c r="B104" s="3" t="s">
        <v>633</v>
      </c>
      <c r="C104" s="3" t="s">
        <v>543</v>
      </c>
      <c r="D104" s="3" t="s">
        <v>514</v>
      </c>
      <c r="E104" s="6" t="n">
        <v>90</v>
      </c>
      <c r="F104" s="3" t="s">
        <v>512</v>
      </c>
      <c r="G104" s="5" t="n">
        <v>46000</v>
      </c>
    </row>
    <row r="105" customFormat="false" ht="15" hidden="false" customHeight="false" outlineLevel="0" collapsed="false">
      <c r="A105" s="3" t="s">
        <v>193</v>
      </c>
      <c r="B105" s="3" t="s">
        <v>634</v>
      </c>
      <c r="C105" s="3" t="s">
        <v>522</v>
      </c>
      <c r="D105" s="3" t="s">
        <v>511</v>
      </c>
      <c r="E105" s="6"/>
      <c r="F105" s="3" t="s">
        <v>512</v>
      </c>
      <c r="G105" s="5"/>
    </row>
    <row r="106" customFormat="false" ht="15" hidden="false" customHeight="false" outlineLevel="0" collapsed="false">
      <c r="A106" s="3" t="s">
        <v>193</v>
      </c>
      <c r="B106" s="3" t="s">
        <v>635</v>
      </c>
      <c r="C106" s="3" t="s">
        <v>548</v>
      </c>
      <c r="D106" s="3" t="s">
        <v>514</v>
      </c>
      <c r="E106" s="6" t="n">
        <v>65</v>
      </c>
      <c r="F106" s="3" t="s">
        <v>512</v>
      </c>
      <c r="G106" s="5" t="n">
        <v>46002</v>
      </c>
    </row>
    <row r="107" customFormat="false" ht="15" hidden="false" customHeight="false" outlineLevel="0" collapsed="false">
      <c r="A107" s="3" t="s">
        <v>195</v>
      </c>
      <c r="B107" s="3" t="s">
        <v>636</v>
      </c>
      <c r="C107" s="3" t="s">
        <v>535</v>
      </c>
      <c r="D107" s="3" t="s">
        <v>514</v>
      </c>
      <c r="E107" s="6" t="n">
        <v>20</v>
      </c>
      <c r="F107" s="3" t="s">
        <v>512</v>
      </c>
      <c r="G107" s="5" t="n">
        <v>46052</v>
      </c>
    </row>
    <row r="108" customFormat="false" ht="15" hidden="false" customHeight="false" outlineLevel="0" collapsed="false">
      <c r="A108" s="3" t="s">
        <v>195</v>
      </c>
      <c r="B108" s="3" t="s">
        <v>637</v>
      </c>
      <c r="C108" s="3" t="s">
        <v>531</v>
      </c>
      <c r="D108" s="3" t="s">
        <v>511</v>
      </c>
      <c r="E108" s="6"/>
      <c r="F108" s="3" t="s">
        <v>512</v>
      </c>
      <c r="G108" s="5"/>
    </row>
    <row r="109" customFormat="false" ht="15" hidden="false" customHeight="false" outlineLevel="0" collapsed="false">
      <c r="A109" s="3" t="s">
        <v>199</v>
      </c>
      <c r="B109" s="3" t="s">
        <v>638</v>
      </c>
      <c r="C109" s="3" t="s">
        <v>531</v>
      </c>
      <c r="D109" s="3" t="s">
        <v>514</v>
      </c>
      <c r="E109" s="6" t="n">
        <v>25</v>
      </c>
      <c r="F109" s="3" t="s">
        <v>597</v>
      </c>
      <c r="G109" s="5" t="n">
        <v>46006</v>
      </c>
    </row>
    <row r="110" customFormat="false" ht="15" hidden="false" customHeight="false" outlineLevel="0" collapsed="false">
      <c r="A110" s="3" t="s">
        <v>199</v>
      </c>
      <c r="B110" s="3" t="s">
        <v>639</v>
      </c>
      <c r="C110" s="3" t="s">
        <v>564</v>
      </c>
      <c r="D110" s="3" t="s">
        <v>514</v>
      </c>
      <c r="E110" s="6" t="n">
        <v>190</v>
      </c>
      <c r="F110" s="3" t="s">
        <v>597</v>
      </c>
      <c r="G110" s="5" t="n">
        <v>46028</v>
      </c>
    </row>
    <row r="111" customFormat="false" ht="15" hidden="false" customHeight="false" outlineLevel="0" collapsed="false">
      <c r="A111" s="3" t="s">
        <v>199</v>
      </c>
      <c r="B111" s="3" t="s">
        <v>640</v>
      </c>
      <c r="C111" s="3" t="s">
        <v>516</v>
      </c>
      <c r="D111" s="3" t="s">
        <v>514</v>
      </c>
      <c r="E111" s="6" t="n">
        <v>100</v>
      </c>
      <c r="F111" s="3" t="s">
        <v>597</v>
      </c>
      <c r="G111" s="5" t="n">
        <v>46055</v>
      </c>
    </row>
    <row r="112" customFormat="false" ht="15" hidden="false" customHeight="false" outlineLevel="0" collapsed="false">
      <c r="A112" s="3" t="s">
        <v>201</v>
      </c>
      <c r="B112" s="3" t="s">
        <v>641</v>
      </c>
      <c r="C112" s="3" t="s">
        <v>535</v>
      </c>
      <c r="D112" s="3" t="s">
        <v>520</v>
      </c>
      <c r="E112" s="6"/>
      <c r="F112" s="3" t="s">
        <v>512</v>
      </c>
      <c r="G112" s="5"/>
    </row>
    <row r="113" customFormat="false" ht="15" hidden="false" customHeight="false" outlineLevel="0" collapsed="false">
      <c r="A113" s="3" t="s">
        <v>201</v>
      </c>
      <c r="B113" s="3" t="s">
        <v>642</v>
      </c>
      <c r="C113" s="3" t="s">
        <v>526</v>
      </c>
      <c r="D113" s="3" t="s">
        <v>514</v>
      </c>
      <c r="E113" s="6" t="n">
        <v>140</v>
      </c>
      <c r="F113" s="3" t="s">
        <v>512</v>
      </c>
      <c r="G113" s="5" t="n">
        <v>45991</v>
      </c>
    </row>
    <row r="114" customFormat="false" ht="15" hidden="false" customHeight="false" outlineLevel="0" collapsed="false">
      <c r="A114" s="3" t="s">
        <v>201</v>
      </c>
      <c r="B114" s="3" t="s">
        <v>643</v>
      </c>
      <c r="C114" s="3" t="s">
        <v>522</v>
      </c>
      <c r="D114" s="3" t="s">
        <v>514</v>
      </c>
      <c r="E114" s="6" t="n">
        <v>135</v>
      </c>
      <c r="F114" s="3" t="s">
        <v>512</v>
      </c>
      <c r="G114" s="5" t="n">
        <v>45985</v>
      </c>
    </row>
    <row r="115" customFormat="false" ht="15" hidden="false" customHeight="false" outlineLevel="0" collapsed="false">
      <c r="A115" s="3" t="s">
        <v>201</v>
      </c>
      <c r="B115" s="3" t="s">
        <v>644</v>
      </c>
      <c r="C115" s="3" t="s">
        <v>531</v>
      </c>
      <c r="D115" s="3" t="s">
        <v>514</v>
      </c>
      <c r="E115" s="6" t="n">
        <v>175</v>
      </c>
      <c r="F115" s="3" t="s">
        <v>512</v>
      </c>
      <c r="G115" s="5" t="n">
        <v>46018</v>
      </c>
    </row>
    <row r="116" customFormat="false" ht="15" hidden="false" customHeight="false" outlineLevel="0" collapsed="false">
      <c r="A116" s="3" t="s">
        <v>201</v>
      </c>
      <c r="B116" s="3" t="s">
        <v>645</v>
      </c>
      <c r="C116" s="3" t="s">
        <v>516</v>
      </c>
      <c r="D116" s="3" t="s">
        <v>520</v>
      </c>
      <c r="E116" s="6"/>
      <c r="F116" s="3" t="s">
        <v>512</v>
      </c>
      <c r="G116" s="5"/>
    </row>
    <row r="117" customFormat="false" ht="15" hidden="false" customHeight="false" outlineLevel="0" collapsed="false">
      <c r="A117" s="3" t="s">
        <v>203</v>
      </c>
      <c r="B117" s="3" t="s">
        <v>646</v>
      </c>
      <c r="C117" s="3" t="s">
        <v>538</v>
      </c>
      <c r="D117" s="3" t="s">
        <v>514</v>
      </c>
      <c r="E117" s="6" t="n">
        <v>165</v>
      </c>
      <c r="F117" s="3" t="s">
        <v>512</v>
      </c>
      <c r="G117" s="5" t="n">
        <v>46043</v>
      </c>
    </row>
    <row r="118" customFormat="false" ht="15" hidden="false" customHeight="false" outlineLevel="0" collapsed="false">
      <c r="A118" s="3" t="s">
        <v>203</v>
      </c>
      <c r="B118" s="3" t="s">
        <v>647</v>
      </c>
      <c r="C118" s="3" t="s">
        <v>529</v>
      </c>
      <c r="D118" s="3" t="s">
        <v>520</v>
      </c>
      <c r="E118" s="6"/>
      <c r="F118" s="3" t="s">
        <v>512</v>
      </c>
      <c r="G118" s="5"/>
    </row>
    <row r="119" customFormat="false" ht="15" hidden="false" customHeight="false" outlineLevel="0" collapsed="false">
      <c r="A119" s="3" t="s">
        <v>203</v>
      </c>
      <c r="B119" s="3" t="s">
        <v>648</v>
      </c>
      <c r="C119" s="3" t="s">
        <v>564</v>
      </c>
      <c r="D119" s="3" t="s">
        <v>514</v>
      </c>
      <c r="E119" s="6" t="n">
        <v>50</v>
      </c>
      <c r="F119" s="3" t="s">
        <v>512</v>
      </c>
      <c r="G119" s="5" t="n">
        <v>46009</v>
      </c>
    </row>
    <row r="120" customFormat="false" ht="15" hidden="false" customHeight="false" outlineLevel="0" collapsed="false">
      <c r="A120" s="3" t="s">
        <v>203</v>
      </c>
      <c r="B120" s="3" t="s">
        <v>649</v>
      </c>
      <c r="C120" s="3" t="s">
        <v>575</v>
      </c>
      <c r="D120" s="3" t="s">
        <v>514</v>
      </c>
      <c r="E120" s="6" t="n">
        <v>50</v>
      </c>
      <c r="F120" s="3" t="s">
        <v>512</v>
      </c>
      <c r="G120" s="5" t="n">
        <v>45991</v>
      </c>
    </row>
    <row r="121" customFormat="false" ht="15" hidden="false" customHeight="false" outlineLevel="0" collapsed="false">
      <c r="A121" s="3" t="s">
        <v>203</v>
      </c>
      <c r="B121" s="3" t="s">
        <v>650</v>
      </c>
      <c r="C121" s="3" t="s">
        <v>535</v>
      </c>
      <c r="D121" s="3" t="s">
        <v>514</v>
      </c>
      <c r="E121" s="6" t="n">
        <v>75</v>
      </c>
      <c r="F121" s="3" t="s">
        <v>512</v>
      </c>
      <c r="G121" s="5" t="n">
        <v>46046</v>
      </c>
    </row>
    <row r="122" customFormat="false" ht="15" hidden="false" customHeight="false" outlineLevel="0" collapsed="false">
      <c r="A122" s="3" t="s">
        <v>207</v>
      </c>
      <c r="B122" s="3" t="s">
        <v>651</v>
      </c>
      <c r="C122" s="3" t="s">
        <v>510</v>
      </c>
      <c r="D122" s="3" t="s">
        <v>514</v>
      </c>
      <c r="E122" s="6" t="n">
        <v>210</v>
      </c>
      <c r="F122" s="3" t="s">
        <v>532</v>
      </c>
      <c r="G122" s="5" t="n">
        <v>46063</v>
      </c>
    </row>
    <row r="123" customFormat="false" ht="15" hidden="false" customHeight="false" outlineLevel="0" collapsed="false">
      <c r="A123" s="3" t="s">
        <v>207</v>
      </c>
      <c r="B123" s="3" t="s">
        <v>652</v>
      </c>
      <c r="C123" s="3" t="s">
        <v>522</v>
      </c>
      <c r="D123" s="3" t="s">
        <v>520</v>
      </c>
      <c r="E123" s="6"/>
      <c r="F123" s="3" t="s">
        <v>532</v>
      </c>
      <c r="G123" s="5"/>
    </row>
    <row r="124" customFormat="false" ht="15" hidden="false" customHeight="false" outlineLevel="0" collapsed="false">
      <c r="A124" s="3" t="s">
        <v>207</v>
      </c>
      <c r="B124" s="3" t="s">
        <v>653</v>
      </c>
      <c r="C124" s="3" t="s">
        <v>535</v>
      </c>
      <c r="D124" s="3" t="s">
        <v>514</v>
      </c>
      <c r="E124" s="6" t="n">
        <v>240</v>
      </c>
      <c r="F124" s="3" t="s">
        <v>532</v>
      </c>
      <c r="G124" s="5" t="n">
        <v>46052</v>
      </c>
    </row>
    <row r="125" customFormat="false" ht="15" hidden="false" customHeight="false" outlineLevel="0" collapsed="false">
      <c r="A125" s="3" t="s">
        <v>207</v>
      </c>
      <c r="B125" s="3" t="s">
        <v>654</v>
      </c>
      <c r="C125" s="3" t="s">
        <v>518</v>
      </c>
      <c r="D125" s="3" t="s">
        <v>520</v>
      </c>
      <c r="E125" s="6"/>
      <c r="F125" s="3" t="s">
        <v>532</v>
      </c>
      <c r="G125" s="5"/>
    </row>
    <row r="126" customFormat="false" ht="15" hidden="false" customHeight="false" outlineLevel="0" collapsed="false">
      <c r="A126" s="3" t="s">
        <v>209</v>
      </c>
      <c r="B126" s="3" t="s">
        <v>655</v>
      </c>
      <c r="C126" s="3" t="s">
        <v>535</v>
      </c>
      <c r="D126" s="3" t="s">
        <v>514</v>
      </c>
      <c r="E126" s="6" t="n">
        <v>105</v>
      </c>
      <c r="F126" s="3" t="s">
        <v>597</v>
      </c>
      <c r="G126" s="5" t="n">
        <v>46026</v>
      </c>
    </row>
    <row r="127" customFormat="false" ht="15" hidden="false" customHeight="false" outlineLevel="0" collapsed="false">
      <c r="A127" s="3" t="s">
        <v>211</v>
      </c>
      <c r="B127" s="3" t="s">
        <v>656</v>
      </c>
      <c r="C127" s="3" t="s">
        <v>518</v>
      </c>
      <c r="D127" s="3" t="s">
        <v>514</v>
      </c>
      <c r="E127" s="6" t="n">
        <v>145</v>
      </c>
      <c r="F127" s="3" t="s">
        <v>512</v>
      </c>
      <c r="G127" s="5" t="n">
        <v>46025</v>
      </c>
    </row>
    <row r="128" customFormat="false" ht="15" hidden="false" customHeight="false" outlineLevel="0" collapsed="false">
      <c r="A128" s="3" t="s">
        <v>214</v>
      </c>
      <c r="B128" s="3" t="s">
        <v>657</v>
      </c>
      <c r="C128" s="3" t="s">
        <v>548</v>
      </c>
      <c r="D128" s="3" t="s">
        <v>514</v>
      </c>
      <c r="E128" s="6" t="n">
        <v>65</v>
      </c>
      <c r="F128" s="3" t="s">
        <v>512</v>
      </c>
      <c r="G128" s="5" t="n">
        <v>46007</v>
      </c>
    </row>
    <row r="129" customFormat="false" ht="15" hidden="false" customHeight="false" outlineLevel="0" collapsed="false">
      <c r="A129" s="3" t="s">
        <v>214</v>
      </c>
      <c r="B129" s="3" t="s">
        <v>658</v>
      </c>
      <c r="C129" s="3" t="s">
        <v>522</v>
      </c>
      <c r="D129" s="3" t="s">
        <v>514</v>
      </c>
      <c r="E129" s="6" t="n">
        <v>130</v>
      </c>
      <c r="F129" s="3" t="s">
        <v>512</v>
      </c>
      <c r="G129" s="5" t="n">
        <v>46057</v>
      </c>
    </row>
    <row r="130" customFormat="false" ht="15" hidden="false" customHeight="false" outlineLevel="0" collapsed="false">
      <c r="A130" s="3" t="s">
        <v>214</v>
      </c>
      <c r="B130" s="3" t="s">
        <v>659</v>
      </c>
      <c r="C130" s="3" t="s">
        <v>538</v>
      </c>
      <c r="D130" s="3" t="s">
        <v>511</v>
      </c>
      <c r="E130" s="6"/>
      <c r="F130" s="3" t="s">
        <v>512</v>
      </c>
      <c r="G130" s="5"/>
    </row>
    <row r="131" customFormat="false" ht="15" hidden="false" customHeight="false" outlineLevel="0" collapsed="false">
      <c r="A131" s="3" t="s">
        <v>214</v>
      </c>
      <c r="B131" s="3" t="s">
        <v>660</v>
      </c>
      <c r="C131" s="3" t="s">
        <v>526</v>
      </c>
      <c r="D131" s="3" t="s">
        <v>514</v>
      </c>
      <c r="E131" s="6" t="n">
        <v>120</v>
      </c>
      <c r="F131" s="3" t="s">
        <v>512</v>
      </c>
      <c r="G131" s="5" t="n">
        <v>46006</v>
      </c>
    </row>
    <row r="132" customFormat="false" ht="15" hidden="false" customHeight="false" outlineLevel="0" collapsed="false">
      <c r="A132" s="3" t="s">
        <v>214</v>
      </c>
      <c r="B132" s="3" t="s">
        <v>661</v>
      </c>
      <c r="C132" s="3" t="s">
        <v>518</v>
      </c>
      <c r="D132" s="3" t="s">
        <v>514</v>
      </c>
      <c r="E132" s="6" t="n">
        <v>180</v>
      </c>
      <c r="F132" s="3" t="s">
        <v>512</v>
      </c>
      <c r="G132" s="5" t="n">
        <v>46023</v>
      </c>
    </row>
    <row r="133" customFormat="false" ht="15" hidden="false" customHeight="false" outlineLevel="0" collapsed="false">
      <c r="A133" s="3" t="s">
        <v>214</v>
      </c>
      <c r="B133" s="3" t="s">
        <v>662</v>
      </c>
      <c r="C133" s="3" t="s">
        <v>575</v>
      </c>
      <c r="D133" s="3" t="s">
        <v>520</v>
      </c>
      <c r="E133" s="6"/>
      <c r="F133" s="3" t="s">
        <v>512</v>
      </c>
      <c r="G133" s="5"/>
    </row>
    <row r="134" customFormat="false" ht="15" hidden="false" customHeight="false" outlineLevel="0" collapsed="false">
      <c r="A134" s="3" t="s">
        <v>216</v>
      </c>
      <c r="B134" s="3" t="s">
        <v>663</v>
      </c>
      <c r="C134" s="3" t="s">
        <v>522</v>
      </c>
      <c r="D134" s="3" t="s">
        <v>520</v>
      </c>
      <c r="E134" s="6"/>
      <c r="F134" s="3" t="s">
        <v>512</v>
      </c>
      <c r="G134" s="5"/>
    </row>
    <row r="135" customFormat="false" ht="15" hidden="false" customHeight="false" outlineLevel="0" collapsed="false">
      <c r="A135" s="3" t="s">
        <v>220</v>
      </c>
      <c r="B135" s="3" t="s">
        <v>664</v>
      </c>
      <c r="C135" s="3" t="s">
        <v>531</v>
      </c>
      <c r="D135" s="3" t="s">
        <v>511</v>
      </c>
      <c r="E135" s="6"/>
      <c r="F135" s="3" t="s">
        <v>512</v>
      </c>
      <c r="G135" s="5"/>
    </row>
    <row r="136" customFormat="false" ht="15" hidden="false" customHeight="false" outlineLevel="0" collapsed="false">
      <c r="A136" s="3" t="s">
        <v>220</v>
      </c>
      <c r="B136" s="3" t="s">
        <v>665</v>
      </c>
      <c r="C136" s="3" t="s">
        <v>524</v>
      </c>
      <c r="D136" s="3" t="s">
        <v>514</v>
      </c>
      <c r="E136" s="6" t="n">
        <v>185</v>
      </c>
      <c r="F136" s="3" t="s">
        <v>512</v>
      </c>
      <c r="G136" s="5" t="n">
        <v>46019</v>
      </c>
    </row>
    <row r="137" customFormat="false" ht="15" hidden="false" customHeight="false" outlineLevel="0" collapsed="false">
      <c r="A137" s="3" t="s">
        <v>220</v>
      </c>
      <c r="B137" s="3" t="s">
        <v>666</v>
      </c>
      <c r="C137" s="3" t="s">
        <v>526</v>
      </c>
      <c r="D137" s="3" t="s">
        <v>514</v>
      </c>
      <c r="E137" s="6" t="n">
        <v>130</v>
      </c>
      <c r="F137" s="3" t="s">
        <v>512</v>
      </c>
      <c r="G137" s="5" t="n">
        <v>46034</v>
      </c>
    </row>
    <row r="138" customFormat="false" ht="15" hidden="false" customHeight="false" outlineLevel="0" collapsed="false">
      <c r="A138" s="3" t="s">
        <v>223</v>
      </c>
      <c r="B138" s="3" t="s">
        <v>667</v>
      </c>
      <c r="C138" s="3" t="s">
        <v>531</v>
      </c>
      <c r="D138" s="3" t="s">
        <v>514</v>
      </c>
      <c r="E138" s="6" t="n">
        <v>180</v>
      </c>
      <c r="F138" s="3" t="s">
        <v>512</v>
      </c>
      <c r="G138" s="5" t="n">
        <v>46053</v>
      </c>
    </row>
    <row r="139" customFormat="false" ht="15" hidden="false" customHeight="false" outlineLevel="0" collapsed="false">
      <c r="A139" s="3" t="s">
        <v>223</v>
      </c>
      <c r="B139" s="3" t="s">
        <v>668</v>
      </c>
      <c r="C139" s="3" t="s">
        <v>524</v>
      </c>
      <c r="D139" s="3" t="s">
        <v>514</v>
      </c>
      <c r="E139" s="6" t="n">
        <v>195</v>
      </c>
      <c r="F139" s="3" t="s">
        <v>512</v>
      </c>
      <c r="G139" s="5" t="n">
        <v>46022</v>
      </c>
    </row>
    <row r="140" customFormat="false" ht="15" hidden="false" customHeight="false" outlineLevel="0" collapsed="false">
      <c r="A140" s="3" t="s">
        <v>225</v>
      </c>
      <c r="B140" s="3" t="s">
        <v>669</v>
      </c>
      <c r="C140" s="3" t="s">
        <v>543</v>
      </c>
      <c r="D140" s="3" t="s">
        <v>511</v>
      </c>
      <c r="E140" s="6"/>
      <c r="F140" s="3" t="s">
        <v>512</v>
      </c>
      <c r="G140" s="5"/>
    </row>
    <row r="141" customFormat="false" ht="15" hidden="false" customHeight="false" outlineLevel="0" collapsed="false">
      <c r="A141" s="3" t="s">
        <v>225</v>
      </c>
      <c r="B141" s="3" t="s">
        <v>670</v>
      </c>
      <c r="C141" s="3" t="s">
        <v>552</v>
      </c>
      <c r="D141" s="3" t="s">
        <v>514</v>
      </c>
      <c r="E141" s="6" t="n">
        <v>55</v>
      </c>
      <c r="F141" s="3" t="s">
        <v>512</v>
      </c>
      <c r="G141" s="5" t="n">
        <v>46055</v>
      </c>
    </row>
    <row r="142" customFormat="false" ht="15" hidden="false" customHeight="false" outlineLevel="0" collapsed="false">
      <c r="A142" s="3" t="s">
        <v>227</v>
      </c>
      <c r="B142" s="3" t="s">
        <v>671</v>
      </c>
      <c r="C142" s="3" t="s">
        <v>538</v>
      </c>
      <c r="D142" s="3" t="s">
        <v>514</v>
      </c>
      <c r="E142" s="6" t="n">
        <v>380</v>
      </c>
      <c r="F142" s="3" t="s">
        <v>532</v>
      </c>
      <c r="G142" s="5" t="n">
        <v>46067</v>
      </c>
    </row>
    <row r="143" customFormat="false" ht="15" hidden="false" customHeight="false" outlineLevel="0" collapsed="false">
      <c r="A143" s="3" t="s">
        <v>227</v>
      </c>
      <c r="B143" s="3" t="s">
        <v>672</v>
      </c>
      <c r="C143" s="3" t="s">
        <v>522</v>
      </c>
      <c r="D143" s="3" t="s">
        <v>514</v>
      </c>
      <c r="E143" s="6" t="n">
        <v>230</v>
      </c>
      <c r="F143" s="3" t="s">
        <v>532</v>
      </c>
      <c r="G143" s="5" t="n">
        <v>46044</v>
      </c>
    </row>
    <row r="144" customFormat="false" ht="15" hidden="false" customHeight="false" outlineLevel="0" collapsed="false">
      <c r="A144" s="3" t="s">
        <v>227</v>
      </c>
      <c r="B144" s="3" t="s">
        <v>673</v>
      </c>
      <c r="C144" s="3" t="s">
        <v>518</v>
      </c>
      <c r="D144" s="3" t="s">
        <v>514</v>
      </c>
      <c r="E144" s="6" t="n">
        <v>570</v>
      </c>
      <c r="F144" s="3" t="s">
        <v>532</v>
      </c>
      <c r="G144" s="5" t="n">
        <v>46033</v>
      </c>
    </row>
    <row r="145" customFormat="false" ht="15" hidden="false" customHeight="false" outlineLevel="0" collapsed="false">
      <c r="A145" s="3" t="s">
        <v>227</v>
      </c>
      <c r="B145" s="3" t="s">
        <v>674</v>
      </c>
      <c r="C145" s="3" t="s">
        <v>564</v>
      </c>
      <c r="D145" s="3" t="s">
        <v>511</v>
      </c>
      <c r="E145" s="6"/>
      <c r="F145" s="3" t="s">
        <v>532</v>
      </c>
      <c r="G145" s="5"/>
    </row>
    <row r="146" customFormat="false" ht="15" hidden="false" customHeight="false" outlineLevel="0" collapsed="false">
      <c r="A146" s="3" t="s">
        <v>227</v>
      </c>
      <c r="B146" s="3" t="s">
        <v>675</v>
      </c>
      <c r="C146" s="3" t="s">
        <v>516</v>
      </c>
      <c r="D146" s="3" t="s">
        <v>520</v>
      </c>
      <c r="E146" s="6"/>
      <c r="F146" s="3" t="s">
        <v>532</v>
      </c>
      <c r="G146" s="5"/>
    </row>
    <row r="147" customFormat="false" ht="15" hidden="false" customHeight="false" outlineLevel="0" collapsed="false">
      <c r="A147" s="3" t="s">
        <v>228</v>
      </c>
      <c r="B147" s="3" t="s">
        <v>676</v>
      </c>
      <c r="C147" s="3" t="s">
        <v>529</v>
      </c>
      <c r="D147" s="3" t="s">
        <v>514</v>
      </c>
      <c r="E147" s="6" t="n">
        <v>300</v>
      </c>
      <c r="F147" s="3" t="s">
        <v>532</v>
      </c>
      <c r="G147" s="5" t="n">
        <v>46013</v>
      </c>
    </row>
    <row r="148" customFormat="false" ht="15" hidden="false" customHeight="false" outlineLevel="0" collapsed="false">
      <c r="A148" s="3" t="s">
        <v>228</v>
      </c>
      <c r="B148" s="3" t="s">
        <v>677</v>
      </c>
      <c r="C148" s="3" t="s">
        <v>524</v>
      </c>
      <c r="D148" s="3" t="s">
        <v>514</v>
      </c>
      <c r="E148" s="6" t="n">
        <v>280</v>
      </c>
      <c r="F148" s="3" t="s">
        <v>532</v>
      </c>
      <c r="G148" s="5" t="n">
        <v>46000</v>
      </c>
    </row>
    <row r="149" customFormat="false" ht="15" hidden="false" customHeight="false" outlineLevel="0" collapsed="false">
      <c r="A149" s="3" t="s">
        <v>228</v>
      </c>
      <c r="B149" s="3" t="s">
        <v>678</v>
      </c>
      <c r="C149" s="3" t="s">
        <v>516</v>
      </c>
      <c r="D149" s="3" t="s">
        <v>514</v>
      </c>
      <c r="E149" s="6" t="n">
        <v>70</v>
      </c>
      <c r="F149" s="3" t="s">
        <v>532</v>
      </c>
      <c r="G149" s="5" t="n">
        <v>46036</v>
      </c>
    </row>
    <row r="150" customFormat="false" ht="15" hidden="false" customHeight="false" outlineLevel="0" collapsed="false">
      <c r="A150" s="3" t="s">
        <v>228</v>
      </c>
      <c r="B150" s="3" t="s">
        <v>679</v>
      </c>
      <c r="C150" s="3" t="s">
        <v>531</v>
      </c>
      <c r="D150" s="3" t="s">
        <v>514</v>
      </c>
      <c r="E150" s="6" t="n">
        <v>560</v>
      </c>
      <c r="F150" s="3" t="s">
        <v>532</v>
      </c>
      <c r="G150" s="5" t="n">
        <v>46034</v>
      </c>
    </row>
    <row r="151" customFormat="false" ht="15" hidden="false" customHeight="false" outlineLevel="0" collapsed="false">
      <c r="A151" s="3" t="s">
        <v>228</v>
      </c>
      <c r="B151" s="3" t="s">
        <v>680</v>
      </c>
      <c r="C151" s="3" t="s">
        <v>564</v>
      </c>
      <c r="D151" s="3" t="s">
        <v>511</v>
      </c>
      <c r="E151" s="6"/>
      <c r="F151" s="3" t="s">
        <v>532</v>
      </c>
      <c r="G151" s="5"/>
    </row>
    <row r="152" customFormat="false" ht="15" hidden="false" customHeight="false" outlineLevel="0" collapsed="false">
      <c r="A152" s="3" t="s">
        <v>229</v>
      </c>
      <c r="B152" s="3" t="s">
        <v>681</v>
      </c>
      <c r="C152" s="3" t="s">
        <v>543</v>
      </c>
      <c r="D152" s="3" t="s">
        <v>511</v>
      </c>
      <c r="E152" s="6"/>
      <c r="F152" s="3" t="s">
        <v>512</v>
      </c>
      <c r="G152" s="5"/>
    </row>
    <row r="153" customFormat="false" ht="15" hidden="false" customHeight="false" outlineLevel="0" collapsed="false">
      <c r="A153" s="3" t="s">
        <v>231</v>
      </c>
      <c r="B153" s="3" t="s">
        <v>682</v>
      </c>
      <c r="C153" s="3" t="s">
        <v>538</v>
      </c>
      <c r="D153" s="3" t="s">
        <v>514</v>
      </c>
      <c r="E153" s="6" t="n">
        <v>175</v>
      </c>
      <c r="F153" s="3" t="s">
        <v>512</v>
      </c>
      <c r="G153" s="5" t="n">
        <v>46034</v>
      </c>
    </row>
    <row r="154" customFormat="false" ht="15" hidden="false" customHeight="false" outlineLevel="0" collapsed="false">
      <c r="A154" s="3" t="s">
        <v>233</v>
      </c>
      <c r="B154" s="3" t="s">
        <v>683</v>
      </c>
      <c r="C154" s="3" t="s">
        <v>531</v>
      </c>
      <c r="D154" s="3" t="s">
        <v>514</v>
      </c>
      <c r="E154" s="6" t="n">
        <v>135</v>
      </c>
      <c r="F154" s="3" t="s">
        <v>512</v>
      </c>
      <c r="G154" s="5" t="n">
        <v>46005</v>
      </c>
    </row>
    <row r="155" customFormat="false" ht="15" hidden="false" customHeight="false" outlineLevel="0" collapsed="false">
      <c r="A155" s="3" t="s">
        <v>233</v>
      </c>
      <c r="B155" s="3" t="s">
        <v>684</v>
      </c>
      <c r="C155" s="3" t="s">
        <v>510</v>
      </c>
      <c r="D155" s="3" t="s">
        <v>511</v>
      </c>
      <c r="E155" s="6"/>
      <c r="F155" s="3" t="s">
        <v>512</v>
      </c>
      <c r="G155" s="5"/>
    </row>
    <row r="156" customFormat="false" ht="15" hidden="false" customHeight="false" outlineLevel="0" collapsed="false">
      <c r="A156" s="3" t="s">
        <v>233</v>
      </c>
      <c r="B156" s="3" t="s">
        <v>685</v>
      </c>
      <c r="C156" s="3" t="s">
        <v>526</v>
      </c>
      <c r="D156" s="3" t="s">
        <v>511</v>
      </c>
      <c r="E156" s="6"/>
      <c r="F156" s="3" t="s">
        <v>512</v>
      </c>
      <c r="G156" s="5"/>
    </row>
    <row r="157" customFormat="false" ht="15" hidden="false" customHeight="false" outlineLevel="0" collapsed="false">
      <c r="A157" s="3" t="s">
        <v>233</v>
      </c>
      <c r="B157" s="3" t="s">
        <v>686</v>
      </c>
      <c r="C157" s="3" t="s">
        <v>548</v>
      </c>
      <c r="D157" s="3" t="s">
        <v>514</v>
      </c>
      <c r="E157" s="6" t="n">
        <v>25</v>
      </c>
      <c r="F157" s="3" t="s">
        <v>512</v>
      </c>
      <c r="G157" s="5" t="n">
        <v>46043</v>
      </c>
    </row>
    <row r="158" customFormat="false" ht="15" hidden="false" customHeight="false" outlineLevel="0" collapsed="false">
      <c r="A158" s="3" t="s">
        <v>233</v>
      </c>
      <c r="B158" s="3" t="s">
        <v>687</v>
      </c>
      <c r="C158" s="3" t="s">
        <v>529</v>
      </c>
      <c r="D158" s="3" t="s">
        <v>520</v>
      </c>
      <c r="E158" s="6"/>
      <c r="F158" s="3" t="s">
        <v>512</v>
      </c>
      <c r="G158" s="5"/>
    </row>
    <row r="159" customFormat="false" ht="15" hidden="false" customHeight="false" outlineLevel="0" collapsed="false">
      <c r="A159" s="3" t="s">
        <v>236</v>
      </c>
      <c r="B159" s="3" t="s">
        <v>688</v>
      </c>
      <c r="C159" s="3" t="s">
        <v>516</v>
      </c>
      <c r="D159" s="3" t="s">
        <v>514</v>
      </c>
      <c r="E159" s="6" t="n">
        <v>260</v>
      </c>
      <c r="F159" s="3" t="s">
        <v>532</v>
      </c>
      <c r="G159" s="5" t="n">
        <v>46032</v>
      </c>
    </row>
    <row r="160" customFormat="false" ht="15" hidden="false" customHeight="false" outlineLevel="0" collapsed="false">
      <c r="A160" s="3" t="s">
        <v>236</v>
      </c>
      <c r="B160" s="3" t="s">
        <v>689</v>
      </c>
      <c r="C160" s="3" t="s">
        <v>535</v>
      </c>
      <c r="D160" s="3" t="s">
        <v>514</v>
      </c>
      <c r="E160" s="6" t="n">
        <v>120</v>
      </c>
      <c r="F160" s="3" t="s">
        <v>532</v>
      </c>
      <c r="G160" s="5" t="n">
        <v>46048</v>
      </c>
    </row>
    <row r="161" customFormat="false" ht="15" hidden="false" customHeight="false" outlineLevel="0" collapsed="false">
      <c r="A161" s="3" t="s">
        <v>236</v>
      </c>
      <c r="B161" s="3" t="s">
        <v>690</v>
      </c>
      <c r="C161" s="3" t="s">
        <v>522</v>
      </c>
      <c r="D161" s="3" t="s">
        <v>514</v>
      </c>
      <c r="E161" s="6" t="n">
        <v>390</v>
      </c>
      <c r="F161" s="3" t="s">
        <v>532</v>
      </c>
      <c r="G161" s="5" t="n">
        <v>46024</v>
      </c>
    </row>
    <row r="162" customFormat="false" ht="15" hidden="false" customHeight="false" outlineLevel="0" collapsed="false">
      <c r="A162" s="3" t="s">
        <v>236</v>
      </c>
      <c r="B162" s="3" t="s">
        <v>691</v>
      </c>
      <c r="C162" s="3" t="s">
        <v>529</v>
      </c>
      <c r="D162" s="3" t="s">
        <v>520</v>
      </c>
      <c r="E162" s="6"/>
      <c r="F162" s="3" t="s">
        <v>532</v>
      </c>
      <c r="G162" s="5"/>
    </row>
    <row r="163" customFormat="false" ht="15" hidden="false" customHeight="false" outlineLevel="0" collapsed="false">
      <c r="A163" s="3" t="s">
        <v>236</v>
      </c>
      <c r="B163" s="3" t="s">
        <v>692</v>
      </c>
      <c r="C163" s="3" t="s">
        <v>526</v>
      </c>
      <c r="D163" s="3" t="s">
        <v>520</v>
      </c>
      <c r="E163" s="6"/>
      <c r="F163" s="3" t="s">
        <v>532</v>
      </c>
      <c r="G163" s="5"/>
    </row>
    <row r="164" customFormat="false" ht="15" hidden="false" customHeight="false" outlineLevel="0" collapsed="false">
      <c r="A164" s="3" t="s">
        <v>236</v>
      </c>
      <c r="B164" s="3" t="s">
        <v>693</v>
      </c>
      <c r="C164" s="3" t="s">
        <v>548</v>
      </c>
      <c r="D164" s="3" t="s">
        <v>514</v>
      </c>
      <c r="E164" s="6" t="n">
        <v>180</v>
      </c>
      <c r="F164" s="3" t="s">
        <v>532</v>
      </c>
      <c r="G164" s="5" t="n">
        <v>46034</v>
      </c>
    </row>
    <row r="165" customFormat="false" ht="15" hidden="false" customHeight="false" outlineLevel="0" collapsed="false">
      <c r="A165" s="3" t="s">
        <v>236</v>
      </c>
      <c r="B165" s="3" t="s">
        <v>694</v>
      </c>
      <c r="C165" s="3" t="s">
        <v>524</v>
      </c>
      <c r="D165" s="3" t="s">
        <v>514</v>
      </c>
      <c r="E165" s="6" t="n">
        <v>50</v>
      </c>
      <c r="F165" s="3" t="s">
        <v>532</v>
      </c>
      <c r="G165" s="5" t="n">
        <v>46058</v>
      </c>
    </row>
    <row r="166" customFormat="false" ht="15" hidden="false" customHeight="false" outlineLevel="0" collapsed="false">
      <c r="A166" s="3" t="s">
        <v>236</v>
      </c>
      <c r="B166" s="3" t="s">
        <v>695</v>
      </c>
      <c r="C166" s="3" t="s">
        <v>543</v>
      </c>
      <c r="D166" s="3" t="s">
        <v>520</v>
      </c>
      <c r="E166" s="6"/>
      <c r="F166" s="3" t="s">
        <v>532</v>
      </c>
      <c r="G166" s="5"/>
    </row>
    <row r="167" customFormat="false" ht="15" hidden="false" customHeight="false" outlineLevel="0" collapsed="false">
      <c r="A167" s="3" t="s">
        <v>238</v>
      </c>
      <c r="B167" s="3" t="s">
        <v>696</v>
      </c>
      <c r="C167" s="3" t="s">
        <v>535</v>
      </c>
      <c r="D167" s="3" t="s">
        <v>514</v>
      </c>
      <c r="E167" s="6" t="n">
        <v>150</v>
      </c>
      <c r="F167" s="3" t="s">
        <v>512</v>
      </c>
      <c r="G167" s="5" t="n">
        <v>45996</v>
      </c>
    </row>
    <row r="168" customFormat="false" ht="15" hidden="false" customHeight="false" outlineLevel="0" collapsed="false">
      <c r="A168" s="3" t="s">
        <v>238</v>
      </c>
      <c r="B168" s="3" t="s">
        <v>697</v>
      </c>
      <c r="C168" s="3" t="s">
        <v>526</v>
      </c>
      <c r="D168" s="3" t="s">
        <v>514</v>
      </c>
      <c r="E168" s="6" t="n">
        <v>80</v>
      </c>
      <c r="F168" s="3" t="s">
        <v>512</v>
      </c>
      <c r="G168" s="5" t="n">
        <v>46049</v>
      </c>
    </row>
    <row r="169" customFormat="false" ht="15" hidden="false" customHeight="false" outlineLevel="0" collapsed="false">
      <c r="A169" s="3" t="s">
        <v>241</v>
      </c>
      <c r="B169" s="3" t="s">
        <v>698</v>
      </c>
      <c r="C169" s="3" t="s">
        <v>529</v>
      </c>
      <c r="D169" s="3" t="s">
        <v>514</v>
      </c>
      <c r="E169" s="6" t="n">
        <v>160</v>
      </c>
      <c r="F169" s="3" t="s">
        <v>512</v>
      </c>
      <c r="G169" s="5" t="n">
        <v>46039</v>
      </c>
    </row>
    <row r="170" customFormat="false" ht="15" hidden="false" customHeight="false" outlineLevel="0" collapsed="false">
      <c r="A170" s="3" t="s">
        <v>241</v>
      </c>
      <c r="B170" s="3" t="s">
        <v>699</v>
      </c>
      <c r="C170" s="3" t="s">
        <v>564</v>
      </c>
      <c r="D170" s="3" t="s">
        <v>514</v>
      </c>
      <c r="E170" s="6" t="n">
        <v>30</v>
      </c>
      <c r="F170" s="3" t="s">
        <v>512</v>
      </c>
      <c r="G170" s="5" t="n">
        <v>46013</v>
      </c>
    </row>
    <row r="171" customFormat="false" ht="15" hidden="false" customHeight="false" outlineLevel="0" collapsed="false">
      <c r="A171" s="3" t="s">
        <v>244</v>
      </c>
      <c r="B171" s="3" t="s">
        <v>700</v>
      </c>
      <c r="C171" s="3" t="s">
        <v>575</v>
      </c>
      <c r="D171" s="3" t="s">
        <v>514</v>
      </c>
      <c r="E171" s="6" t="n">
        <v>90</v>
      </c>
      <c r="F171" s="3" t="s">
        <v>512</v>
      </c>
      <c r="G171" s="5" t="n">
        <v>46027</v>
      </c>
    </row>
    <row r="172" customFormat="false" ht="15" hidden="false" customHeight="false" outlineLevel="0" collapsed="false">
      <c r="A172" s="3" t="s">
        <v>245</v>
      </c>
      <c r="B172" s="3" t="s">
        <v>701</v>
      </c>
      <c r="C172" s="3" t="s">
        <v>524</v>
      </c>
      <c r="D172" s="3" t="s">
        <v>514</v>
      </c>
      <c r="E172" s="6" t="n">
        <v>150</v>
      </c>
      <c r="F172" s="3" t="s">
        <v>512</v>
      </c>
      <c r="G172" s="5" t="n">
        <v>46020</v>
      </c>
    </row>
    <row r="173" customFormat="false" ht="15" hidden="false" customHeight="false" outlineLevel="0" collapsed="false">
      <c r="A173" s="3" t="s">
        <v>248</v>
      </c>
      <c r="B173" s="3" t="s">
        <v>702</v>
      </c>
      <c r="C173" s="3" t="s">
        <v>522</v>
      </c>
      <c r="D173" s="3" t="s">
        <v>514</v>
      </c>
      <c r="E173" s="6" t="n">
        <v>100</v>
      </c>
      <c r="F173" s="3" t="s">
        <v>512</v>
      </c>
      <c r="G173" s="5" t="n">
        <v>46052</v>
      </c>
    </row>
    <row r="174" customFormat="false" ht="15" hidden="false" customHeight="false" outlineLevel="0" collapsed="false">
      <c r="A174" s="3" t="s">
        <v>248</v>
      </c>
      <c r="B174" s="3" t="s">
        <v>703</v>
      </c>
      <c r="C174" s="3" t="s">
        <v>548</v>
      </c>
      <c r="D174" s="3" t="s">
        <v>511</v>
      </c>
      <c r="E174" s="6"/>
      <c r="F174" s="3" t="s">
        <v>512</v>
      </c>
      <c r="G174" s="5"/>
    </row>
    <row r="175" customFormat="false" ht="15" hidden="false" customHeight="false" outlineLevel="0" collapsed="false">
      <c r="A175" s="3" t="s">
        <v>248</v>
      </c>
      <c r="B175" s="3" t="s">
        <v>704</v>
      </c>
      <c r="C175" s="3" t="s">
        <v>538</v>
      </c>
      <c r="D175" s="3" t="s">
        <v>520</v>
      </c>
      <c r="E175" s="6"/>
      <c r="F175" s="3" t="s">
        <v>512</v>
      </c>
      <c r="G175" s="5"/>
    </row>
    <row r="176" customFormat="false" ht="15" hidden="false" customHeight="false" outlineLevel="0" collapsed="false">
      <c r="A176" s="3" t="s">
        <v>248</v>
      </c>
      <c r="B176" s="3" t="s">
        <v>705</v>
      </c>
      <c r="C176" s="3" t="s">
        <v>575</v>
      </c>
      <c r="D176" s="3" t="s">
        <v>511</v>
      </c>
      <c r="E176" s="6"/>
      <c r="F176" s="3" t="s">
        <v>512</v>
      </c>
      <c r="G176" s="5"/>
    </row>
    <row r="177" customFormat="false" ht="15" hidden="false" customHeight="false" outlineLevel="0" collapsed="false">
      <c r="A177" s="3" t="s">
        <v>248</v>
      </c>
      <c r="B177" s="3" t="s">
        <v>706</v>
      </c>
      <c r="C177" s="3" t="s">
        <v>524</v>
      </c>
      <c r="D177" s="3" t="s">
        <v>511</v>
      </c>
      <c r="E177" s="6"/>
      <c r="F177" s="3" t="s">
        <v>512</v>
      </c>
      <c r="G177" s="5"/>
    </row>
    <row r="178" customFormat="false" ht="15" hidden="false" customHeight="false" outlineLevel="0" collapsed="false">
      <c r="A178" s="3" t="s">
        <v>251</v>
      </c>
      <c r="B178" s="3" t="s">
        <v>707</v>
      </c>
      <c r="C178" s="3" t="s">
        <v>575</v>
      </c>
      <c r="D178" s="3" t="s">
        <v>520</v>
      </c>
      <c r="E178" s="6"/>
      <c r="F178" s="3" t="s">
        <v>512</v>
      </c>
      <c r="G178" s="5"/>
    </row>
    <row r="179" customFormat="false" ht="15" hidden="false" customHeight="false" outlineLevel="0" collapsed="false">
      <c r="A179" s="3" t="s">
        <v>251</v>
      </c>
      <c r="B179" s="3" t="s">
        <v>708</v>
      </c>
      <c r="C179" s="3" t="s">
        <v>529</v>
      </c>
      <c r="D179" s="3" t="s">
        <v>514</v>
      </c>
      <c r="E179" s="6" t="n">
        <v>55</v>
      </c>
      <c r="F179" s="3" t="s">
        <v>512</v>
      </c>
      <c r="G179" s="5" t="n">
        <v>46016</v>
      </c>
    </row>
    <row r="180" customFormat="false" ht="15" hidden="false" customHeight="false" outlineLevel="0" collapsed="false">
      <c r="A180" s="3" t="s">
        <v>251</v>
      </c>
      <c r="B180" s="3" t="s">
        <v>709</v>
      </c>
      <c r="C180" s="3" t="s">
        <v>564</v>
      </c>
      <c r="D180" s="3" t="s">
        <v>520</v>
      </c>
      <c r="E180" s="6"/>
      <c r="F180" s="3" t="s">
        <v>512</v>
      </c>
      <c r="G180" s="5"/>
    </row>
    <row r="181" customFormat="false" ht="15" hidden="false" customHeight="false" outlineLevel="0" collapsed="false">
      <c r="A181" s="3" t="s">
        <v>251</v>
      </c>
      <c r="B181" s="3" t="s">
        <v>710</v>
      </c>
      <c r="C181" s="3" t="s">
        <v>510</v>
      </c>
      <c r="D181" s="3" t="s">
        <v>520</v>
      </c>
      <c r="E181" s="6"/>
      <c r="F181" s="3" t="s">
        <v>512</v>
      </c>
      <c r="G181" s="5"/>
    </row>
    <row r="182" customFormat="false" ht="15" hidden="false" customHeight="false" outlineLevel="0" collapsed="false">
      <c r="A182" s="3" t="s">
        <v>251</v>
      </c>
      <c r="B182" s="3" t="s">
        <v>711</v>
      </c>
      <c r="C182" s="3" t="s">
        <v>518</v>
      </c>
      <c r="D182" s="3" t="s">
        <v>514</v>
      </c>
      <c r="E182" s="6" t="n">
        <v>140</v>
      </c>
      <c r="F182" s="3" t="s">
        <v>512</v>
      </c>
      <c r="G182" s="5" t="n">
        <v>46008</v>
      </c>
    </row>
    <row r="183" customFormat="false" ht="15" hidden="false" customHeight="false" outlineLevel="0" collapsed="false">
      <c r="A183" s="3" t="s">
        <v>251</v>
      </c>
      <c r="B183" s="3" t="s">
        <v>712</v>
      </c>
      <c r="C183" s="3" t="s">
        <v>548</v>
      </c>
      <c r="D183" s="3" t="s">
        <v>514</v>
      </c>
      <c r="E183" s="6" t="n">
        <v>135</v>
      </c>
      <c r="F183" s="3" t="s">
        <v>512</v>
      </c>
      <c r="G183" s="5" t="n">
        <v>46065</v>
      </c>
    </row>
    <row r="184" customFormat="false" ht="15" hidden="false" customHeight="false" outlineLevel="0" collapsed="false">
      <c r="A184" s="3" t="s">
        <v>251</v>
      </c>
      <c r="B184" s="3" t="s">
        <v>713</v>
      </c>
      <c r="C184" s="3" t="s">
        <v>535</v>
      </c>
      <c r="D184" s="3" t="s">
        <v>514</v>
      </c>
      <c r="E184" s="6" t="n">
        <v>135</v>
      </c>
      <c r="F184" s="3" t="s">
        <v>512</v>
      </c>
      <c r="G184" s="5" t="n">
        <v>46008</v>
      </c>
    </row>
    <row r="185" customFormat="false" ht="15" hidden="false" customHeight="false" outlineLevel="0" collapsed="false">
      <c r="A185" s="3" t="s">
        <v>251</v>
      </c>
      <c r="B185" s="3" t="s">
        <v>714</v>
      </c>
      <c r="C185" s="3" t="s">
        <v>516</v>
      </c>
      <c r="D185" s="3" t="s">
        <v>514</v>
      </c>
      <c r="E185" s="6" t="n">
        <v>30</v>
      </c>
      <c r="F185" s="3" t="s">
        <v>512</v>
      </c>
      <c r="G185" s="5" t="n">
        <v>46030</v>
      </c>
    </row>
    <row r="186" customFormat="false" ht="15" hidden="false" customHeight="false" outlineLevel="0" collapsed="false">
      <c r="A186" s="3" t="s">
        <v>254</v>
      </c>
      <c r="B186" s="3" t="s">
        <v>715</v>
      </c>
      <c r="C186" s="3" t="s">
        <v>543</v>
      </c>
      <c r="D186" s="3" t="s">
        <v>520</v>
      </c>
      <c r="E186" s="6"/>
      <c r="F186" s="3" t="s">
        <v>532</v>
      </c>
      <c r="G186" s="5"/>
    </row>
    <row r="187" customFormat="false" ht="15" hidden="false" customHeight="false" outlineLevel="0" collapsed="false">
      <c r="A187" s="3" t="s">
        <v>254</v>
      </c>
      <c r="B187" s="3" t="s">
        <v>716</v>
      </c>
      <c r="C187" s="3" t="s">
        <v>516</v>
      </c>
      <c r="D187" s="3" t="s">
        <v>514</v>
      </c>
      <c r="E187" s="6" t="n">
        <v>60</v>
      </c>
      <c r="F187" s="3" t="s">
        <v>532</v>
      </c>
      <c r="G187" s="5" t="n">
        <v>46020</v>
      </c>
    </row>
    <row r="188" customFormat="false" ht="15" hidden="false" customHeight="false" outlineLevel="0" collapsed="false">
      <c r="A188" s="3" t="s">
        <v>254</v>
      </c>
      <c r="B188" s="3" t="s">
        <v>717</v>
      </c>
      <c r="C188" s="3" t="s">
        <v>522</v>
      </c>
      <c r="D188" s="3" t="s">
        <v>514</v>
      </c>
      <c r="E188" s="6" t="n">
        <v>550</v>
      </c>
      <c r="F188" s="3" t="s">
        <v>532</v>
      </c>
      <c r="G188" s="5" t="n">
        <v>46034</v>
      </c>
    </row>
    <row r="189" customFormat="false" ht="15" hidden="false" customHeight="false" outlineLevel="0" collapsed="false">
      <c r="A189" s="3" t="s">
        <v>254</v>
      </c>
      <c r="B189" s="3" t="s">
        <v>718</v>
      </c>
      <c r="C189" s="3" t="s">
        <v>526</v>
      </c>
      <c r="D189" s="3" t="s">
        <v>514</v>
      </c>
      <c r="E189" s="6" t="n">
        <v>130</v>
      </c>
      <c r="F189" s="3" t="s">
        <v>532</v>
      </c>
      <c r="G189" s="5" t="n">
        <v>46031</v>
      </c>
    </row>
    <row r="190" customFormat="false" ht="15" hidden="false" customHeight="false" outlineLevel="0" collapsed="false">
      <c r="A190" s="3" t="s">
        <v>255</v>
      </c>
      <c r="B190" s="3" t="s">
        <v>719</v>
      </c>
      <c r="C190" s="3" t="s">
        <v>535</v>
      </c>
      <c r="D190" s="3" t="s">
        <v>514</v>
      </c>
      <c r="E190" s="6" t="n">
        <v>50</v>
      </c>
      <c r="F190" s="3" t="s">
        <v>512</v>
      </c>
      <c r="G190" s="5" t="n">
        <v>46018</v>
      </c>
    </row>
    <row r="191" customFormat="false" ht="15" hidden="false" customHeight="false" outlineLevel="0" collapsed="false">
      <c r="A191" s="3" t="s">
        <v>258</v>
      </c>
      <c r="B191" s="3" t="s">
        <v>720</v>
      </c>
      <c r="C191" s="3" t="s">
        <v>522</v>
      </c>
      <c r="D191" s="3" t="s">
        <v>520</v>
      </c>
      <c r="E191" s="6"/>
      <c r="F191" s="3" t="s">
        <v>512</v>
      </c>
      <c r="G191" s="5"/>
    </row>
    <row r="192" customFormat="false" ht="15" hidden="false" customHeight="false" outlineLevel="0" collapsed="false">
      <c r="A192" s="3" t="s">
        <v>258</v>
      </c>
      <c r="B192" s="3" t="s">
        <v>721</v>
      </c>
      <c r="C192" s="3" t="s">
        <v>516</v>
      </c>
      <c r="D192" s="3" t="s">
        <v>514</v>
      </c>
      <c r="E192" s="6" t="n">
        <v>40</v>
      </c>
      <c r="F192" s="3" t="s">
        <v>512</v>
      </c>
      <c r="G192" s="5" t="n">
        <v>46060</v>
      </c>
    </row>
    <row r="193" customFormat="false" ht="15" hidden="false" customHeight="false" outlineLevel="0" collapsed="false">
      <c r="A193" s="3" t="s">
        <v>258</v>
      </c>
      <c r="B193" s="3" t="s">
        <v>722</v>
      </c>
      <c r="C193" s="3" t="s">
        <v>575</v>
      </c>
      <c r="D193" s="3" t="s">
        <v>514</v>
      </c>
      <c r="E193" s="6" t="n">
        <v>130</v>
      </c>
      <c r="F193" s="3" t="s">
        <v>512</v>
      </c>
      <c r="G193" s="5" t="n">
        <v>46074</v>
      </c>
    </row>
    <row r="194" customFormat="false" ht="15" hidden="false" customHeight="false" outlineLevel="0" collapsed="false">
      <c r="A194" s="3" t="s">
        <v>258</v>
      </c>
      <c r="B194" s="3" t="s">
        <v>723</v>
      </c>
      <c r="C194" s="3" t="s">
        <v>510</v>
      </c>
      <c r="D194" s="3" t="s">
        <v>511</v>
      </c>
      <c r="E194" s="6"/>
      <c r="F194" s="3" t="s">
        <v>512</v>
      </c>
      <c r="G194" s="5"/>
    </row>
    <row r="195" customFormat="false" ht="15" hidden="false" customHeight="false" outlineLevel="0" collapsed="false">
      <c r="A195" s="3" t="s">
        <v>258</v>
      </c>
      <c r="B195" s="3" t="s">
        <v>724</v>
      </c>
      <c r="C195" s="3" t="s">
        <v>540</v>
      </c>
      <c r="D195" s="3" t="s">
        <v>514</v>
      </c>
      <c r="E195" s="6" t="n">
        <v>160</v>
      </c>
      <c r="F195" s="3" t="s">
        <v>512</v>
      </c>
      <c r="G195" s="5" t="n">
        <v>46061</v>
      </c>
    </row>
    <row r="196" customFormat="false" ht="15" hidden="false" customHeight="false" outlineLevel="0" collapsed="false">
      <c r="A196" s="3" t="s">
        <v>258</v>
      </c>
      <c r="B196" s="3" t="s">
        <v>725</v>
      </c>
      <c r="C196" s="3" t="s">
        <v>548</v>
      </c>
      <c r="D196" s="3" t="s">
        <v>514</v>
      </c>
      <c r="E196" s="6" t="n">
        <v>75</v>
      </c>
      <c r="F196" s="3" t="s">
        <v>512</v>
      </c>
      <c r="G196" s="5" t="n">
        <v>46027</v>
      </c>
    </row>
    <row r="197" customFormat="false" ht="15" hidden="false" customHeight="false" outlineLevel="0" collapsed="false">
      <c r="A197" s="3" t="s">
        <v>258</v>
      </c>
      <c r="B197" s="3" t="s">
        <v>726</v>
      </c>
      <c r="C197" s="3" t="s">
        <v>552</v>
      </c>
      <c r="D197" s="3" t="s">
        <v>511</v>
      </c>
      <c r="E197" s="6"/>
      <c r="F197" s="3" t="s">
        <v>512</v>
      </c>
      <c r="G197" s="5"/>
    </row>
    <row r="198" customFormat="false" ht="15" hidden="false" customHeight="false" outlineLevel="0" collapsed="false">
      <c r="A198" s="3" t="s">
        <v>258</v>
      </c>
      <c r="B198" s="3" t="s">
        <v>727</v>
      </c>
      <c r="C198" s="3" t="s">
        <v>529</v>
      </c>
      <c r="D198" s="3" t="s">
        <v>514</v>
      </c>
      <c r="E198" s="6" t="n">
        <v>185</v>
      </c>
      <c r="F198" s="3" t="s">
        <v>512</v>
      </c>
      <c r="G198" s="5" t="n">
        <v>46037</v>
      </c>
    </row>
    <row r="199" customFormat="false" ht="15" hidden="false" customHeight="false" outlineLevel="0" collapsed="false">
      <c r="A199" s="3" t="s">
        <v>260</v>
      </c>
      <c r="B199" s="3" t="s">
        <v>728</v>
      </c>
      <c r="C199" s="3" t="s">
        <v>564</v>
      </c>
      <c r="D199" s="3" t="s">
        <v>514</v>
      </c>
      <c r="E199" s="6" t="n">
        <v>140</v>
      </c>
      <c r="F199" s="3" t="s">
        <v>512</v>
      </c>
      <c r="G199" s="5" t="n">
        <v>46062</v>
      </c>
    </row>
    <row r="200" customFormat="false" ht="15" hidden="false" customHeight="false" outlineLevel="0" collapsed="false">
      <c r="A200" s="3" t="s">
        <v>260</v>
      </c>
      <c r="B200" s="3" t="s">
        <v>729</v>
      </c>
      <c r="C200" s="3" t="s">
        <v>575</v>
      </c>
      <c r="D200" s="3" t="s">
        <v>520</v>
      </c>
      <c r="E200" s="6"/>
      <c r="F200" s="3" t="s">
        <v>512</v>
      </c>
      <c r="G200" s="5"/>
    </row>
    <row r="201" customFormat="false" ht="15" hidden="false" customHeight="false" outlineLevel="0" collapsed="false">
      <c r="A201" s="3" t="s">
        <v>260</v>
      </c>
      <c r="B201" s="3" t="s">
        <v>730</v>
      </c>
      <c r="C201" s="3" t="s">
        <v>526</v>
      </c>
      <c r="D201" s="3" t="s">
        <v>514</v>
      </c>
      <c r="E201" s="6" t="n">
        <v>50</v>
      </c>
      <c r="F201" s="3" t="s">
        <v>512</v>
      </c>
      <c r="G201" s="5" t="n">
        <v>46056</v>
      </c>
    </row>
    <row r="202" customFormat="false" ht="15" hidden="false" customHeight="false" outlineLevel="0" collapsed="false">
      <c r="A202" s="3" t="s">
        <v>263</v>
      </c>
      <c r="B202" s="3" t="s">
        <v>731</v>
      </c>
      <c r="C202" s="3" t="s">
        <v>510</v>
      </c>
      <c r="D202" s="3" t="s">
        <v>514</v>
      </c>
      <c r="E202" s="6" t="n">
        <v>10</v>
      </c>
      <c r="F202" s="3" t="s">
        <v>512</v>
      </c>
      <c r="G202" s="5" t="n">
        <v>46012</v>
      </c>
    </row>
    <row r="203" customFormat="false" ht="15" hidden="false" customHeight="false" outlineLevel="0" collapsed="false">
      <c r="A203" s="3" t="s">
        <v>263</v>
      </c>
      <c r="B203" s="3" t="s">
        <v>732</v>
      </c>
      <c r="C203" s="3" t="s">
        <v>516</v>
      </c>
      <c r="D203" s="3" t="s">
        <v>520</v>
      </c>
      <c r="E203" s="6"/>
      <c r="F203" s="3" t="s">
        <v>512</v>
      </c>
      <c r="G203" s="5"/>
    </row>
    <row r="204" customFormat="false" ht="15" hidden="false" customHeight="false" outlineLevel="0" collapsed="false">
      <c r="A204" s="3" t="s">
        <v>265</v>
      </c>
      <c r="B204" s="3" t="s">
        <v>733</v>
      </c>
      <c r="C204" s="3" t="s">
        <v>526</v>
      </c>
      <c r="D204" s="3" t="s">
        <v>514</v>
      </c>
      <c r="E204" s="6" t="n">
        <v>410</v>
      </c>
      <c r="F204" s="3" t="s">
        <v>532</v>
      </c>
      <c r="G204" s="5" t="n">
        <v>46021</v>
      </c>
    </row>
    <row r="205" customFormat="false" ht="15" hidden="false" customHeight="false" outlineLevel="0" collapsed="false">
      <c r="A205" s="3" t="s">
        <v>265</v>
      </c>
      <c r="B205" s="3" t="s">
        <v>734</v>
      </c>
      <c r="C205" s="3" t="s">
        <v>538</v>
      </c>
      <c r="D205" s="3" t="s">
        <v>514</v>
      </c>
      <c r="E205" s="6" t="n">
        <v>180</v>
      </c>
      <c r="F205" s="3" t="s">
        <v>532</v>
      </c>
      <c r="G205" s="5" t="n">
        <v>46012</v>
      </c>
    </row>
    <row r="206" customFormat="false" ht="15" hidden="false" customHeight="false" outlineLevel="0" collapsed="false">
      <c r="A206" s="3" t="s">
        <v>265</v>
      </c>
      <c r="B206" s="3" t="s">
        <v>735</v>
      </c>
      <c r="C206" s="3" t="s">
        <v>518</v>
      </c>
      <c r="D206" s="3" t="s">
        <v>514</v>
      </c>
      <c r="E206" s="6" t="n">
        <v>130</v>
      </c>
      <c r="F206" s="3" t="s">
        <v>532</v>
      </c>
      <c r="G206" s="5" t="n">
        <v>46058</v>
      </c>
    </row>
    <row r="207" customFormat="false" ht="15" hidden="false" customHeight="false" outlineLevel="0" collapsed="false">
      <c r="A207" s="3" t="s">
        <v>265</v>
      </c>
      <c r="B207" s="3" t="s">
        <v>736</v>
      </c>
      <c r="C207" s="3" t="s">
        <v>575</v>
      </c>
      <c r="D207" s="3" t="s">
        <v>511</v>
      </c>
      <c r="E207" s="6"/>
      <c r="F207" s="3" t="s">
        <v>532</v>
      </c>
      <c r="G207" s="5"/>
    </row>
    <row r="208" customFormat="false" ht="15" hidden="false" customHeight="false" outlineLevel="0" collapsed="false">
      <c r="A208" s="3" t="s">
        <v>265</v>
      </c>
      <c r="B208" s="3" t="s">
        <v>737</v>
      </c>
      <c r="C208" s="3" t="s">
        <v>522</v>
      </c>
      <c r="D208" s="3" t="s">
        <v>514</v>
      </c>
      <c r="E208" s="6" t="n">
        <v>100</v>
      </c>
      <c r="F208" s="3" t="s">
        <v>532</v>
      </c>
      <c r="G208" s="5" t="n">
        <v>46046</v>
      </c>
    </row>
    <row r="209" customFormat="false" ht="15" hidden="false" customHeight="false" outlineLevel="0" collapsed="false">
      <c r="A209" s="3" t="s">
        <v>266</v>
      </c>
      <c r="B209" s="3" t="s">
        <v>738</v>
      </c>
      <c r="C209" s="3" t="s">
        <v>510</v>
      </c>
      <c r="D209" s="3" t="s">
        <v>514</v>
      </c>
      <c r="E209" s="6" t="n">
        <v>25</v>
      </c>
      <c r="F209" s="3" t="s">
        <v>512</v>
      </c>
      <c r="G209" s="5" t="n">
        <v>46009</v>
      </c>
    </row>
    <row r="210" customFormat="false" ht="15" hidden="false" customHeight="false" outlineLevel="0" collapsed="false">
      <c r="A210" s="3" t="s">
        <v>266</v>
      </c>
      <c r="B210" s="3" t="s">
        <v>739</v>
      </c>
      <c r="C210" s="3" t="s">
        <v>524</v>
      </c>
      <c r="D210" s="3" t="s">
        <v>514</v>
      </c>
      <c r="E210" s="6" t="n">
        <v>175</v>
      </c>
      <c r="F210" s="3" t="s">
        <v>512</v>
      </c>
      <c r="G210" s="5" t="n">
        <v>45998</v>
      </c>
    </row>
    <row r="211" customFormat="false" ht="15" hidden="false" customHeight="false" outlineLevel="0" collapsed="false">
      <c r="A211" s="3" t="s">
        <v>266</v>
      </c>
      <c r="B211" s="3" t="s">
        <v>740</v>
      </c>
      <c r="C211" s="3" t="s">
        <v>540</v>
      </c>
      <c r="D211" s="3" t="s">
        <v>514</v>
      </c>
      <c r="E211" s="6" t="n">
        <v>180</v>
      </c>
      <c r="F211" s="3" t="s">
        <v>512</v>
      </c>
      <c r="G211" s="5" t="n">
        <v>46016</v>
      </c>
    </row>
    <row r="212" customFormat="false" ht="15" hidden="false" customHeight="false" outlineLevel="0" collapsed="false">
      <c r="A212" s="3" t="s">
        <v>268</v>
      </c>
      <c r="B212" s="3" t="s">
        <v>741</v>
      </c>
      <c r="C212" s="3" t="s">
        <v>543</v>
      </c>
      <c r="D212" s="3" t="s">
        <v>514</v>
      </c>
      <c r="E212" s="6" t="n">
        <v>70</v>
      </c>
      <c r="F212" s="3" t="s">
        <v>512</v>
      </c>
      <c r="G212" s="5" t="n">
        <v>46023</v>
      </c>
    </row>
    <row r="213" customFormat="false" ht="15" hidden="false" customHeight="false" outlineLevel="0" collapsed="false">
      <c r="A213" s="3" t="s">
        <v>268</v>
      </c>
      <c r="B213" s="3" t="s">
        <v>742</v>
      </c>
      <c r="C213" s="3" t="s">
        <v>535</v>
      </c>
      <c r="D213" s="3" t="s">
        <v>511</v>
      </c>
      <c r="E213" s="6"/>
      <c r="F213" s="3" t="s">
        <v>512</v>
      </c>
      <c r="G213" s="5"/>
    </row>
    <row r="214" customFormat="false" ht="15" hidden="false" customHeight="false" outlineLevel="0" collapsed="false">
      <c r="A214" s="3" t="s">
        <v>268</v>
      </c>
      <c r="B214" s="3" t="s">
        <v>743</v>
      </c>
      <c r="C214" s="3" t="s">
        <v>518</v>
      </c>
      <c r="D214" s="3" t="s">
        <v>514</v>
      </c>
      <c r="E214" s="6" t="n">
        <v>85</v>
      </c>
      <c r="F214" s="3" t="s">
        <v>512</v>
      </c>
      <c r="G214" s="5" t="n">
        <v>46015</v>
      </c>
    </row>
    <row r="215" customFormat="false" ht="15" hidden="false" customHeight="false" outlineLevel="0" collapsed="false">
      <c r="A215" s="3" t="s">
        <v>268</v>
      </c>
      <c r="B215" s="3" t="s">
        <v>744</v>
      </c>
      <c r="C215" s="3" t="s">
        <v>526</v>
      </c>
      <c r="D215" s="3" t="s">
        <v>511</v>
      </c>
      <c r="E215" s="6"/>
      <c r="F215" s="3" t="s">
        <v>512</v>
      </c>
      <c r="G215" s="5"/>
    </row>
    <row r="216" customFormat="false" ht="15" hidden="false" customHeight="false" outlineLevel="0" collapsed="false">
      <c r="A216" s="3" t="s">
        <v>268</v>
      </c>
      <c r="B216" s="3" t="s">
        <v>745</v>
      </c>
      <c r="C216" s="3" t="s">
        <v>552</v>
      </c>
      <c r="D216" s="3" t="s">
        <v>514</v>
      </c>
      <c r="E216" s="6" t="n">
        <v>70</v>
      </c>
      <c r="F216" s="3" t="s">
        <v>512</v>
      </c>
      <c r="G216" s="5" t="n">
        <v>46059</v>
      </c>
    </row>
    <row r="217" customFormat="false" ht="15" hidden="false" customHeight="false" outlineLevel="0" collapsed="false">
      <c r="A217" s="3" t="s">
        <v>268</v>
      </c>
      <c r="B217" s="3" t="s">
        <v>746</v>
      </c>
      <c r="C217" s="3" t="s">
        <v>516</v>
      </c>
      <c r="D217" s="3" t="s">
        <v>514</v>
      </c>
      <c r="E217" s="6" t="n">
        <v>105</v>
      </c>
      <c r="F217" s="3" t="s">
        <v>512</v>
      </c>
      <c r="G217" s="5" t="n">
        <v>46001</v>
      </c>
    </row>
    <row r="218" customFormat="false" ht="15" hidden="false" customHeight="false" outlineLevel="0" collapsed="false">
      <c r="A218" s="3" t="s">
        <v>270</v>
      </c>
      <c r="B218" s="3" t="s">
        <v>747</v>
      </c>
      <c r="C218" s="3" t="s">
        <v>522</v>
      </c>
      <c r="D218" s="3" t="s">
        <v>520</v>
      </c>
      <c r="E218" s="6"/>
      <c r="F218" s="3" t="s">
        <v>532</v>
      </c>
      <c r="G218" s="5"/>
    </row>
    <row r="219" customFormat="false" ht="15" hidden="false" customHeight="false" outlineLevel="0" collapsed="false">
      <c r="A219" s="3" t="s">
        <v>270</v>
      </c>
      <c r="B219" s="3" t="s">
        <v>748</v>
      </c>
      <c r="C219" s="3" t="s">
        <v>510</v>
      </c>
      <c r="D219" s="3" t="s">
        <v>520</v>
      </c>
      <c r="E219" s="6"/>
      <c r="F219" s="3" t="s">
        <v>532</v>
      </c>
      <c r="G219" s="5"/>
    </row>
    <row r="220" customFormat="false" ht="15" hidden="false" customHeight="false" outlineLevel="0" collapsed="false">
      <c r="A220" s="3" t="s">
        <v>270</v>
      </c>
      <c r="B220" s="3" t="s">
        <v>749</v>
      </c>
      <c r="C220" s="3" t="s">
        <v>529</v>
      </c>
      <c r="D220" s="3" t="s">
        <v>514</v>
      </c>
      <c r="E220" s="6" t="n">
        <v>440</v>
      </c>
      <c r="F220" s="3" t="s">
        <v>532</v>
      </c>
      <c r="G220" s="5" t="n">
        <v>46046</v>
      </c>
    </row>
    <row r="221" customFormat="false" ht="15" hidden="false" customHeight="false" outlineLevel="0" collapsed="false">
      <c r="A221" s="3" t="s">
        <v>270</v>
      </c>
      <c r="B221" s="3" t="s">
        <v>750</v>
      </c>
      <c r="C221" s="3" t="s">
        <v>516</v>
      </c>
      <c r="D221" s="3" t="s">
        <v>520</v>
      </c>
      <c r="E221" s="6"/>
      <c r="F221" s="3" t="s">
        <v>532</v>
      </c>
      <c r="G221" s="5"/>
    </row>
    <row r="222" customFormat="false" ht="15" hidden="false" customHeight="false" outlineLevel="0" collapsed="false">
      <c r="A222" s="3" t="s">
        <v>271</v>
      </c>
      <c r="B222" s="3" t="s">
        <v>751</v>
      </c>
      <c r="C222" s="3" t="s">
        <v>543</v>
      </c>
      <c r="D222" s="3" t="s">
        <v>514</v>
      </c>
      <c r="E222" s="6" t="n">
        <v>470</v>
      </c>
      <c r="F222" s="3" t="s">
        <v>532</v>
      </c>
      <c r="G222" s="5" t="n">
        <v>46154</v>
      </c>
    </row>
    <row r="223" customFormat="false" ht="15" hidden="false" customHeight="false" outlineLevel="0" collapsed="false">
      <c r="A223" s="3" t="s">
        <v>271</v>
      </c>
      <c r="B223" s="3" t="s">
        <v>752</v>
      </c>
      <c r="C223" s="3" t="s">
        <v>531</v>
      </c>
      <c r="D223" s="3" t="s">
        <v>511</v>
      </c>
      <c r="E223" s="6"/>
      <c r="F223" s="3" t="s">
        <v>532</v>
      </c>
      <c r="G223" s="5"/>
    </row>
    <row r="224" customFormat="false" ht="15" hidden="false" customHeight="false" outlineLevel="0" collapsed="false">
      <c r="A224" s="3" t="s">
        <v>271</v>
      </c>
      <c r="B224" s="3" t="s">
        <v>753</v>
      </c>
      <c r="C224" s="3" t="s">
        <v>564</v>
      </c>
      <c r="D224" s="3" t="s">
        <v>514</v>
      </c>
      <c r="E224" s="6" t="n">
        <v>480</v>
      </c>
      <c r="F224" s="3" t="s">
        <v>532</v>
      </c>
      <c r="G224" s="5" t="n">
        <v>46153</v>
      </c>
    </row>
    <row r="225" customFormat="false" ht="15" hidden="false" customHeight="false" outlineLevel="0" collapsed="false">
      <c r="A225" s="3" t="s">
        <v>271</v>
      </c>
      <c r="B225" s="3" t="s">
        <v>754</v>
      </c>
      <c r="C225" s="3" t="s">
        <v>526</v>
      </c>
      <c r="D225" s="3" t="s">
        <v>514</v>
      </c>
      <c r="E225" s="6" t="n">
        <v>310</v>
      </c>
      <c r="F225" s="3" t="s">
        <v>532</v>
      </c>
      <c r="G225" s="5" t="n">
        <v>46123</v>
      </c>
    </row>
    <row r="226" customFormat="false" ht="15" hidden="false" customHeight="false" outlineLevel="0" collapsed="false">
      <c r="A226" s="3" t="s">
        <v>271</v>
      </c>
      <c r="B226" s="3" t="s">
        <v>755</v>
      </c>
      <c r="C226" s="3" t="s">
        <v>529</v>
      </c>
      <c r="D226" s="3" t="s">
        <v>514</v>
      </c>
      <c r="E226" s="6" t="n">
        <v>190</v>
      </c>
      <c r="F226" s="3" t="s">
        <v>532</v>
      </c>
      <c r="G226" s="5" t="n">
        <v>46116</v>
      </c>
    </row>
    <row r="227" customFormat="false" ht="15" hidden="false" customHeight="false" outlineLevel="0" collapsed="false">
      <c r="A227" s="3" t="s">
        <v>271</v>
      </c>
      <c r="B227" s="3" t="s">
        <v>756</v>
      </c>
      <c r="C227" s="3" t="s">
        <v>535</v>
      </c>
      <c r="D227" s="3" t="s">
        <v>520</v>
      </c>
      <c r="E227" s="6"/>
      <c r="F227" s="3" t="s">
        <v>532</v>
      </c>
      <c r="G227" s="5"/>
    </row>
    <row r="228" customFormat="false" ht="15" hidden="false" customHeight="false" outlineLevel="0" collapsed="false">
      <c r="A228" s="3" t="s">
        <v>271</v>
      </c>
      <c r="B228" s="3" t="s">
        <v>757</v>
      </c>
      <c r="C228" s="3" t="s">
        <v>540</v>
      </c>
      <c r="D228" s="3" t="s">
        <v>514</v>
      </c>
      <c r="E228" s="6" t="n">
        <v>480</v>
      </c>
      <c r="F228" s="3" t="s">
        <v>532</v>
      </c>
      <c r="G228" s="5" t="n">
        <v>46118</v>
      </c>
    </row>
    <row r="229" customFormat="false" ht="15" hidden="false" customHeight="false" outlineLevel="0" collapsed="false">
      <c r="A229" s="3" t="s">
        <v>271</v>
      </c>
      <c r="B229" s="3" t="s">
        <v>758</v>
      </c>
      <c r="C229" s="3" t="s">
        <v>575</v>
      </c>
      <c r="D229" s="3" t="s">
        <v>514</v>
      </c>
      <c r="E229" s="6" t="n">
        <v>130</v>
      </c>
      <c r="F229" s="3" t="s">
        <v>532</v>
      </c>
      <c r="G229" s="5" t="n">
        <v>46170</v>
      </c>
    </row>
    <row r="230" customFormat="false" ht="15" hidden="false" customHeight="false" outlineLevel="0" collapsed="false">
      <c r="A230" s="3" t="s">
        <v>273</v>
      </c>
      <c r="B230" s="3" t="s">
        <v>759</v>
      </c>
      <c r="C230" s="3" t="s">
        <v>548</v>
      </c>
      <c r="D230" s="3" t="s">
        <v>511</v>
      </c>
      <c r="E230" s="6"/>
      <c r="F230" s="3" t="s">
        <v>597</v>
      </c>
      <c r="G230" s="5"/>
    </row>
    <row r="231" customFormat="false" ht="15" hidden="false" customHeight="false" outlineLevel="0" collapsed="false">
      <c r="A231" s="3" t="s">
        <v>275</v>
      </c>
      <c r="B231" s="3" t="s">
        <v>760</v>
      </c>
      <c r="C231" s="3" t="s">
        <v>552</v>
      </c>
      <c r="D231" s="3" t="s">
        <v>511</v>
      </c>
      <c r="E231" s="6"/>
      <c r="F231" s="3" t="s">
        <v>512</v>
      </c>
      <c r="G231" s="5"/>
    </row>
    <row r="232" customFormat="false" ht="15" hidden="false" customHeight="false" outlineLevel="0" collapsed="false">
      <c r="A232" s="3" t="s">
        <v>276</v>
      </c>
      <c r="B232" s="3" t="s">
        <v>761</v>
      </c>
      <c r="C232" s="3" t="s">
        <v>510</v>
      </c>
      <c r="D232" s="3" t="s">
        <v>514</v>
      </c>
      <c r="E232" s="6" t="n">
        <v>50</v>
      </c>
      <c r="F232" s="3" t="s">
        <v>512</v>
      </c>
      <c r="G232" s="5" t="n">
        <v>46158</v>
      </c>
    </row>
    <row r="233" customFormat="false" ht="15" hidden="false" customHeight="false" outlineLevel="0" collapsed="false">
      <c r="A233" s="3" t="s">
        <v>278</v>
      </c>
      <c r="B233" s="3" t="s">
        <v>762</v>
      </c>
      <c r="C233" s="3" t="s">
        <v>575</v>
      </c>
      <c r="D233" s="3" t="s">
        <v>511</v>
      </c>
      <c r="E233" s="6"/>
      <c r="F233" s="3" t="s">
        <v>512</v>
      </c>
      <c r="G233" s="5"/>
    </row>
    <row r="234" customFormat="false" ht="15" hidden="false" customHeight="false" outlineLevel="0" collapsed="false">
      <c r="A234" s="3" t="s">
        <v>280</v>
      </c>
      <c r="B234" s="3" t="s">
        <v>763</v>
      </c>
      <c r="C234" s="3" t="s">
        <v>510</v>
      </c>
      <c r="D234" s="3" t="s">
        <v>514</v>
      </c>
      <c r="E234" s="6" t="n">
        <v>230</v>
      </c>
      <c r="F234" s="3" t="s">
        <v>532</v>
      </c>
      <c r="G234" s="5" t="n">
        <v>46206</v>
      </c>
    </row>
    <row r="235" customFormat="false" ht="15" hidden="false" customHeight="false" outlineLevel="0" collapsed="false">
      <c r="A235" s="3" t="s">
        <v>280</v>
      </c>
      <c r="B235" s="3" t="s">
        <v>764</v>
      </c>
      <c r="C235" s="3" t="s">
        <v>543</v>
      </c>
      <c r="D235" s="3" t="s">
        <v>514</v>
      </c>
      <c r="E235" s="6" t="n">
        <v>590</v>
      </c>
      <c r="F235" s="3" t="s">
        <v>532</v>
      </c>
      <c r="G235" s="5" t="n">
        <v>46187</v>
      </c>
    </row>
    <row r="236" customFormat="false" ht="15" hidden="false" customHeight="false" outlineLevel="0" collapsed="false">
      <c r="A236" s="3" t="s">
        <v>280</v>
      </c>
      <c r="B236" s="3" t="s">
        <v>765</v>
      </c>
      <c r="C236" s="3" t="s">
        <v>531</v>
      </c>
      <c r="D236" s="3" t="s">
        <v>514</v>
      </c>
      <c r="E236" s="6" t="n">
        <v>460</v>
      </c>
      <c r="F236" s="3" t="s">
        <v>532</v>
      </c>
      <c r="G236" s="5" t="n">
        <v>46205</v>
      </c>
    </row>
    <row r="237" customFormat="false" ht="15" hidden="false" customHeight="false" outlineLevel="0" collapsed="false">
      <c r="A237" s="3" t="s">
        <v>280</v>
      </c>
      <c r="B237" s="3" t="s">
        <v>766</v>
      </c>
      <c r="C237" s="3" t="s">
        <v>552</v>
      </c>
      <c r="D237" s="3" t="s">
        <v>514</v>
      </c>
      <c r="E237" s="6" t="n">
        <v>210</v>
      </c>
      <c r="F237" s="3" t="s">
        <v>532</v>
      </c>
      <c r="G237" s="5" t="n">
        <v>46168</v>
      </c>
    </row>
    <row r="238" customFormat="false" ht="15" hidden="false" customHeight="false" outlineLevel="0" collapsed="false">
      <c r="A238" s="3" t="s">
        <v>281</v>
      </c>
      <c r="B238" s="3" t="s">
        <v>767</v>
      </c>
      <c r="C238" s="3" t="s">
        <v>531</v>
      </c>
      <c r="D238" s="3" t="s">
        <v>511</v>
      </c>
      <c r="E238" s="6"/>
      <c r="F238" s="3" t="s">
        <v>512</v>
      </c>
      <c r="G238" s="5"/>
    </row>
    <row r="239" customFormat="false" ht="15" hidden="false" customHeight="false" outlineLevel="0" collapsed="false">
      <c r="A239" s="3" t="s">
        <v>281</v>
      </c>
      <c r="B239" s="3" t="s">
        <v>768</v>
      </c>
      <c r="C239" s="3" t="s">
        <v>518</v>
      </c>
      <c r="D239" s="3" t="s">
        <v>520</v>
      </c>
      <c r="E239" s="6"/>
      <c r="F239" s="3" t="s">
        <v>512</v>
      </c>
      <c r="G239" s="5"/>
    </row>
    <row r="240" customFormat="false" ht="15" hidden="false" customHeight="false" outlineLevel="0" collapsed="false">
      <c r="A240" s="3" t="s">
        <v>281</v>
      </c>
      <c r="B240" s="3" t="s">
        <v>769</v>
      </c>
      <c r="C240" s="3" t="s">
        <v>575</v>
      </c>
      <c r="D240" s="3" t="s">
        <v>514</v>
      </c>
      <c r="E240" s="6" t="n">
        <v>55</v>
      </c>
      <c r="F240" s="3" t="s">
        <v>512</v>
      </c>
      <c r="G240" s="5" t="n">
        <v>46136</v>
      </c>
    </row>
    <row r="241" customFormat="false" ht="15" hidden="false" customHeight="false" outlineLevel="0" collapsed="false">
      <c r="A241" s="3" t="s">
        <v>281</v>
      </c>
      <c r="B241" s="3" t="s">
        <v>770</v>
      </c>
      <c r="C241" s="3" t="s">
        <v>526</v>
      </c>
      <c r="D241" s="3" t="s">
        <v>520</v>
      </c>
      <c r="E241" s="6"/>
      <c r="F241" s="3" t="s">
        <v>512</v>
      </c>
      <c r="G241" s="5"/>
    </row>
    <row r="242" customFormat="false" ht="15" hidden="false" customHeight="false" outlineLevel="0" collapsed="false">
      <c r="A242" s="3" t="s">
        <v>281</v>
      </c>
      <c r="B242" s="3" t="s">
        <v>771</v>
      </c>
      <c r="C242" s="3" t="s">
        <v>516</v>
      </c>
      <c r="D242" s="3" t="s">
        <v>511</v>
      </c>
      <c r="E242" s="6"/>
      <c r="F242" s="3" t="s">
        <v>512</v>
      </c>
      <c r="G242" s="5"/>
    </row>
    <row r="243" customFormat="false" ht="15" hidden="false" customHeight="false" outlineLevel="0" collapsed="false">
      <c r="A243" s="3" t="s">
        <v>281</v>
      </c>
      <c r="B243" s="3" t="s">
        <v>772</v>
      </c>
      <c r="C243" s="3" t="s">
        <v>510</v>
      </c>
      <c r="D243" s="3" t="s">
        <v>520</v>
      </c>
      <c r="E243" s="6"/>
      <c r="F243" s="3" t="s">
        <v>512</v>
      </c>
      <c r="G243" s="5"/>
    </row>
    <row r="244" customFormat="false" ht="15" hidden="false" customHeight="false" outlineLevel="0" collapsed="false">
      <c r="A244" s="3" t="s">
        <v>283</v>
      </c>
      <c r="B244" s="3" t="s">
        <v>773</v>
      </c>
      <c r="C244" s="3" t="s">
        <v>529</v>
      </c>
      <c r="D244" s="3" t="s">
        <v>514</v>
      </c>
      <c r="E244" s="6" t="n">
        <v>160</v>
      </c>
      <c r="F244" s="3" t="s">
        <v>512</v>
      </c>
      <c r="G244" s="5" t="n">
        <v>46140</v>
      </c>
    </row>
    <row r="245" customFormat="false" ht="15" hidden="false" customHeight="false" outlineLevel="0" collapsed="false">
      <c r="A245" s="3" t="s">
        <v>283</v>
      </c>
      <c r="B245" s="3" t="s">
        <v>774</v>
      </c>
      <c r="C245" s="3" t="s">
        <v>552</v>
      </c>
      <c r="D245" s="3" t="s">
        <v>520</v>
      </c>
      <c r="E245" s="6"/>
      <c r="F245" s="3" t="s">
        <v>512</v>
      </c>
      <c r="G245" s="5"/>
    </row>
    <row r="246" customFormat="false" ht="15" hidden="false" customHeight="false" outlineLevel="0" collapsed="false">
      <c r="A246" s="3" t="s">
        <v>283</v>
      </c>
      <c r="B246" s="3" t="s">
        <v>775</v>
      </c>
      <c r="C246" s="3" t="s">
        <v>522</v>
      </c>
      <c r="D246" s="3" t="s">
        <v>520</v>
      </c>
      <c r="E246" s="6"/>
      <c r="F246" s="3" t="s">
        <v>512</v>
      </c>
      <c r="G246" s="5"/>
    </row>
    <row r="247" customFormat="false" ht="15" hidden="false" customHeight="false" outlineLevel="0" collapsed="false">
      <c r="A247" s="3" t="s">
        <v>285</v>
      </c>
      <c r="B247" s="3" t="s">
        <v>776</v>
      </c>
      <c r="C247" s="3" t="s">
        <v>575</v>
      </c>
      <c r="D247" s="3" t="s">
        <v>514</v>
      </c>
      <c r="E247" s="6" t="n">
        <v>110</v>
      </c>
      <c r="F247" s="3" t="s">
        <v>532</v>
      </c>
      <c r="G247" s="5" t="n">
        <v>46207</v>
      </c>
    </row>
    <row r="248" customFormat="false" ht="15" hidden="false" customHeight="false" outlineLevel="0" collapsed="false">
      <c r="A248" s="3" t="s">
        <v>285</v>
      </c>
      <c r="B248" s="3" t="s">
        <v>777</v>
      </c>
      <c r="C248" s="3" t="s">
        <v>516</v>
      </c>
      <c r="D248" s="3" t="s">
        <v>514</v>
      </c>
      <c r="E248" s="6" t="n">
        <v>440</v>
      </c>
      <c r="F248" s="3" t="s">
        <v>532</v>
      </c>
      <c r="G248" s="5" t="n">
        <v>46209</v>
      </c>
    </row>
    <row r="249" customFormat="false" ht="15" hidden="false" customHeight="false" outlineLevel="0" collapsed="false">
      <c r="A249" s="3" t="s">
        <v>285</v>
      </c>
      <c r="B249" s="3" t="s">
        <v>778</v>
      </c>
      <c r="C249" s="3" t="s">
        <v>531</v>
      </c>
      <c r="D249" s="3" t="s">
        <v>511</v>
      </c>
      <c r="E249" s="6"/>
      <c r="F249" s="3" t="s">
        <v>532</v>
      </c>
      <c r="G249" s="5"/>
    </row>
    <row r="250" customFormat="false" ht="15" hidden="false" customHeight="false" outlineLevel="0" collapsed="false">
      <c r="A250" s="3" t="s">
        <v>287</v>
      </c>
      <c r="B250" s="3" t="s">
        <v>779</v>
      </c>
      <c r="C250" s="3" t="s">
        <v>538</v>
      </c>
      <c r="D250" s="3" t="s">
        <v>520</v>
      </c>
      <c r="E250" s="6"/>
      <c r="F250" s="3" t="s">
        <v>532</v>
      </c>
      <c r="G250" s="5"/>
    </row>
    <row r="251" customFormat="false" ht="15" hidden="false" customHeight="false" outlineLevel="0" collapsed="false">
      <c r="A251" s="3" t="s">
        <v>287</v>
      </c>
      <c r="B251" s="3" t="s">
        <v>780</v>
      </c>
      <c r="C251" s="3" t="s">
        <v>535</v>
      </c>
      <c r="D251" s="3" t="s">
        <v>520</v>
      </c>
      <c r="E251" s="6"/>
      <c r="F251" s="3" t="s">
        <v>532</v>
      </c>
      <c r="G251" s="5"/>
    </row>
    <row r="252" customFormat="false" ht="15" hidden="false" customHeight="false" outlineLevel="0" collapsed="false">
      <c r="A252" s="3" t="s">
        <v>287</v>
      </c>
      <c r="B252" s="3" t="s">
        <v>781</v>
      </c>
      <c r="C252" s="3" t="s">
        <v>575</v>
      </c>
      <c r="D252" s="3" t="s">
        <v>514</v>
      </c>
      <c r="E252" s="6" t="n">
        <v>280</v>
      </c>
      <c r="F252" s="3" t="s">
        <v>532</v>
      </c>
      <c r="G252" s="5" t="n">
        <v>46177</v>
      </c>
    </row>
    <row r="253" customFormat="false" ht="15" hidden="false" customHeight="false" outlineLevel="0" collapsed="false">
      <c r="A253" s="3" t="s">
        <v>287</v>
      </c>
      <c r="B253" s="3" t="s">
        <v>782</v>
      </c>
      <c r="C253" s="3" t="s">
        <v>552</v>
      </c>
      <c r="D253" s="3" t="s">
        <v>514</v>
      </c>
      <c r="E253" s="6" t="n">
        <v>300</v>
      </c>
      <c r="F253" s="3" t="s">
        <v>532</v>
      </c>
      <c r="G253" s="5" t="n">
        <v>46160</v>
      </c>
    </row>
    <row r="254" customFormat="false" ht="15" hidden="false" customHeight="false" outlineLevel="0" collapsed="false">
      <c r="A254" s="3" t="s">
        <v>288</v>
      </c>
      <c r="B254" s="3" t="s">
        <v>783</v>
      </c>
      <c r="C254" s="3" t="s">
        <v>529</v>
      </c>
      <c r="D254" s="3" t="s">
        <v>514</v>
      </c>
      <c r="E254" s="6" t="n">
        <v>170</v>
      </c>
      <c r="F254" s="3" t="s">
        <v>512</v>
      </c>
      <c r="G254" s="5" t="n">
        <v>46158</v>
      </c>
    </row>
    <row r="255" customFormat="false" ht="15" hidden="false" customHeight="false" outlineLevel="0" collapsed="false">
      <c r="A255" s="3" t="s">
        <v>289</v>
      </c>
      <c r="B255" s="3" t="s">
        <v>784</v>
      </c>
      <c r="C255" s="3" t="s">
        <v>575</v>
      </c>
      <c r="D255" s="3" t="s">
        <v>514</v>
      </c>
      <c r="E255" s="6" t="n">
        <v>10</v>
      </c>
      <c r="F255" s="3" t="s">
        <v>512</v>
      </c>
      <c r="G255" s="5" t="n">
        <v>46137</v>
      </c>
    </row>
    <row r="256" customFormat="false" ht="15" hidden="false" customHeight="false" outlineLevel="0" collapsed="false">
      <c r="A256" s="3" t="s">
        <v>289</v>
      </c>
      <c r="B256" s="3" t="s">
        <v>785</v>
      </c>
      <c r="C256" s="3" t="s">
        <v>538</v>
      </c>
      <c r="D256" s="3" t="s">
        <v>511</v>
      </c>
      <c r="E256" s="6"/>
      <c r="F256" s="3" t="s">
        <v>512</v>
      </c>
      <c r="G256" s="5"/>
    </row>
    <row r="257" customFormat="false" ht="15" hidden="false" customHeight="false" outlineLevel="0" collapsed="false">
      <c r="A257" s="3" t="s">
        <v>289</v>
      </c>
      <c r="B257" s="3" t="s">
        <v>786</v>
      </c>
      <c r="C257" s="3" t="s">
        <v>540</v>
      </c>
      <c r="D257" s="3" t="s">
        <v>520</v>
      </c>
      <c r="E257" s="6"/>
      <c r="F257" s="3" t="s">
        <v>512</v>
      </c>
      <c r="G257" s="5"/>
    </row>
    <row r="258" customFormat="false" ht="15" hidden="false" customHeight="false" outlineLevel="0" collapsed="false">
      <c r="A258" s="3" t="s">
        <v>291</v>
      </c>
      <c r="B258" s="3" t="s">
        <v>787</v>
      </c>
      <c r="C258" s="3" t="s">
        <v>564</v>
      </c>
      <c r="D258" s="3" t="s">
        <v>514</v>
      </c>
      <c r="E258" s="6" t="n">
        <v>125</v>
      </c>
      <c r="F258" s="3" t="s">
        <v>512</v>
      </c>
      <c r="G258" s="5" t="n">
        <v>46148</v>
      </c>
    </row>
    <row r="259" customFormat="false" ht="15" hidden="false" customHeight="false" outlineLevel="0" collapsed="false">
      <c r="A259" s="3" t="s">
        <v>291</v>
      </c>
      <c r="B259" s="3" t="s">
        <v>788</v>
      </c>
      <c r="C259" s="3" t="s">
        <v>552</v>
      </c>
      <c r="D259" s="3" t="s">
        <v>514</v>
      </c>
      <c r="E259" s="6" t="n">
        <v>15</v>
      </c>
      <c r="F259" s="3" t="s">
        <v>512</v>
      </c>
      <c r="G259" s="5" t="n">
        <v>46160</v>
      </c>
    </row>
    <row r="260" customFormat="false" ht="15" hidden="false" customHeight="false" outlineLevel="0" collapsed="false">
      <c r="A260" s="3" t="s">
        <v>294</v>
      </c>
      <c r="B260" s="3" t="s">
        <v>789</v>
      </c>
      <c r="C260" s="3" t="s">
        <v>510</v>
      </c>
      <c r="D260" s="3" t="s">
        <v>514</v>
      </c>
      <c r="E260" s="6" t="n">
        <v>20</v>
      </c>
      <c r="F260" s="3" t="s">
        <v>512</v>
      </c>
      <c r="G260" s="5" t="n">
        <v>46168</v>
      </c>
    </row>
    <row r="261" customFormat="false" ht="15" hidden="false" customHeight="false" outlineLevel="0" collapsed="false">
      <c r="A261" s="3" t="s">
        <v>294</v>
      </c>
      <c r="B261" s="3" t="s">
        <v>790</v>
      </c>
      <c r="C261" s="3" t="s">
        <v>535</v>
      </c>
      <c r="D261" s="3" t="s">
        <v>514</v>
      </c>
      <c r="E261" s="6" t="n">
        <v>130</v>
      </c>
      <c r="F261" s="3" t="s">
        <v>512</v>
      </c>
      <c r="G261" s="5" t="n">
        <v>46188</v>
      </c>
    </row>
    <row r="262" customFormat="false" ht="15" hidden="false" customHeight="false" outlineLevel="0" collapsed="false">
      <c r="A262" s="3" t="s">
        <v>294</v>
      </c>
      <c r="B262" s="3" t="s">
        <v>791</v>
      </c>
      <c r="C262" s="3" t="s">
        <v>526</v>
      </c>
      <c r="D262" s="3" t="s">
        <v>520</v>
      </c>
      <c r="E262" s="6"/>
      <c r="F262" s="3" t="s">
        <v>512</v>
      </c>
      <c r="G262" s="5"/>
    </row>
    <row r="263" customFormat="false" ht="15" hidden="false" customHeight="false" outlineLevel="0" collapsed="false">
      <c r="A263" s="3" t="s">
        <v>294</v>
      </c>
      <c r="B263" s="3" t="s">
        <v>792</v>
      </c>
      <c r="C263" s="3" t="s">
        <v>518</v>
      </c>
      <c r="D263" s="3" t="s">
        <v>514</v>
      </c>
      <c r="E263" s="6" t="n">
        <v>175</v>
      </c>
      <c r="F263" s="3" t="s">
        <v>512</v>
      </c>
      <c r="G263" s="5" t="n">
        <v>46170</v>
      </c>
    </row>
    <row r="264" customFormat="false" ht="15" hidden="false" customHeight="false" outlineLevel="0" collapsed="false">
      <c r="A264" s="3" t="s">
        <v>296</v>
      </c>
      <c r="B264" s="3" t="s">
        <v>793</v>
      </c>
      <c r="C264" s="3" t="s">
        <v>526</v>
      </c>
      <c r="D264" s="3" t="s">
        <v>514</v>
      </c>
      <c r="E264" s="6" t="n">
        <v>95</v>
      </c>
      <c r="F264" s="3" t="s">
        <v>512</v>
      </c>
      <c r="G264" s="5" t="n">
        <v>46142</v>
      </c>
    </row>
    <row r="265" customFormat="false" ht="15" hidden="false" customHeight="false" outlineLevel="0" collapsed="false">
      <c r="A265" s="3" t="s">
        <v>296</v>
      </c>
      <c r="B265" s="3" t="s">
        <v>794</v>
      </c>
      <c r="C265" s="3" t="s">
        <v>518</v>
      </c>
      <c r="D265" s="3" t="s">
        <v>514</v>
      </c>
      <c r="E265" s="6" t="n">
        <v>85</v>
      </c>
      <c r="F265" s="3" t="s">
        <v>512</v>
      </c>
      <c r="G265" s="5" t="n">
        <v>46130</v>
      </c>
    </row>
    <row r="266" customFormat="false" ht="15" hidden="false" customHeight="false" outlineLevel="0" collapsed="false">
      <c r="A266" s="3" t="s">
        <v>296</v>
      </c>
      <c r="B266" s="3" t="s">
        <v>795</v>
      </c>
      <c r="C266" s="3" t="s">
        <v>540</v>
      </c>
      <c r="D266" s="3" t="s">
        <v>520</v>
      </c>
      <c r="E266" s="6"/>
      <c r="F266" s="3" t="s">
        <v>512</v>
      </c>
      <c r="G266" s="5"/>
    </row>
    <row r="267" customFormat="false" ht="15" hidden="false" customHeight="false" outlineLevel="0" collapsed="false">
      <c r="A267" s="3" t="s">
        <v>296</v>
      </c>
      <c r="B267" s="3" t="s">
        <v>796</v>
      </c>
      <c r="C267" s="3" t="s">
        <v>522</v>
      </c>
      <c r="D267" s="3" t="s">
        <v>511</v>
      </c>
      <c r="E267" s="6"/>
      <c r="F267" s="3" t="s">
        <v>512</v>
      </c>
      <c r="G267" s="5"/>
    </row>
    <row r="268" customFormat="false" ht="15" hidden="false" customHeight="false" outlineLevel="0" collapsed="false">
      <c r="A268" s="3" t="s">
        <v>296</v>
      </c>
      <c r="B268" s="3" t="s">
        <v>797</v>
      </c>
      <c r="C268" s="3" t="s">
        <v>510</v>
      </c>
      <c r="D268" s="3" t="s">
        <v>514</v>
      </c>
      <c r="E268" s="6" t="n">
        <v>175</v>
      </c>
      <c r="F268" s="3" t="s">
        <v>512</v>
      </c>
      <c r="G268" s="5" t="n">
        <v>46143</v>
      </c>
    </row>
    <row r="269" customFormat="false" ht="15" hidden="false" customHeight="false" outlineLevel="0" collapsed="false">
      <c r="A269" s="3" t="s">
        <v>299</v>
      </c>
      <c r="B269" s="3" t="s">
        <v>798</v>
      </c>
      <c r="C269" s="3" t="s">
        <v>548</v>
      </c>
      <c r="D269" s="3" t="s">
        <v>511</v>
      </c>
      <c r="E269" s="6"/>
      <c r="F269" s="3" t="s">
        <v>597</v>
      </c>
      <c r="G269" s="5"/>
    </row>
    <row r="270" customFormat="false" ht="15" hidden="false" customHeight="false" outlineLevel="0" collapsed="false">
      <c r="A270" s="3" t="s">
        <v>299</v>
      </c>
      <c r="B270" s="3" t="s">
        <v>799</v>
      </c>
      <c r="C270" s="3" t="s">
        <v>564</v>
      </c>
      <c r="D270" s="3" t="s">
        <v>514</v>
      </c>
      <c r="E270" s="6" t="n">
        <v>150</v>
      </c>
      <c r="F270" s="3" t="s">
        <v>597</v>
      </c>
      <c r="G270" s="5" t="n">
        <v>46150</v>
      </c>
    </row>
    <row r="271" customFormat="false" ht="15" hidden="false" customHeight="false" outlineLevel="0" collapsed="false">
      <c r="A271" s="3" t="s">
        <v>302</v>
      </c>
      <c r="B271" s="3" t="s">
        <v>800</v>
      </c>
      <c r="C271" s="3" t="s">
        <v>526</v>
      </c>
      <c r="D271" s="3" t="s">
        <v>520</v>
      </c>
      <c r="E271" s="6"/>
      <c r="F271" s="3" t="s">
        <v>597</v>
      </c>
      <c r="G271" s="5"/>
    </row>
    <row r="272" customFormat="false" ht="15" hidden="false" customHeight="false" outlineLevel="0" collapsed="false">
      <c r="A272" s="3" t="s">
        <v>302</v>
      </c>
      <c r="B272" s="3" t="s">
        <v>801</v>
      </c>
      <c r="C272" s="3" t="s">
        <v>510</v>
      </c>
      <c r="D272" s="3" t="s">
        <v>520</v>
      </c>
      <c r="E272" s="6"/>
      <c r="F272" s="3" t="s">
        <v>597</v>
      </c>
      <c r="G272" s="5"/>
    </row>
    <row r="273" customFormat="false" ht="15" hidden="false" customHeight="false" outlineLevel="0" collapsed="false">
      <c r="A273" s="3" t="s">
        <v>302</v>
      </c>
      <c r="B273" s="3" t="s">
        <v>802</v>
      </c>
      <c r="C273" s="3" t="s">
        <v>548</v>
      </c>
      <c r="D273" s="3" t="s">
        <v>514</v>
      </c>
      <c r="E273" s="6" t="n">
        <v>10</v>
      </c>
      <c r="F273" s="3" t="s">
        <v>597</v>
      </c>
      <c r="G273" s="5" t="n">
        <v>46113</v>
      </c>
    </row>
    <row r="274" customFormat="false" ht="15" hidden="false" customHeight="false" outlineLevel="0" collapsed="false">
      <c r="A274" s="3" t="s">
        <v>303</v>
      </c>
      <c r="B274" s="3" t="s">
        <v>803</v>
      </c>
      <c r="C274" s="3" t="s">
        <v>516</v>
      </c>
      <c r="D274" s="3" t="s">
        <v>514</v>
      </c>
      <c r="E274" s="6" t="n">
        <v>185</v>
      </c>
      <c r="F274" s="3" t="s">
        <v>512</v>
      </c>
      <c r="G274" s="5" t="n">
        <v>46184</v>
      </c>
    </row>
    <row r="275" customFormat="false" ht="15" hidden="false" customHeight="false" outlineLevel="0" collapsed="false">
      <c r="A275" s="3" t="s">
        <v>303</v>
      </c>
      <c r="B275" s="3" t="s">
        <v>804</v>
      </c>
      <c r="C275" s="3" t="s">
        <v>548</v>
      </c>
      <c r="D275" s="3" t="s">
        <v>520</v>
      </c>
      <c r="E275" s="6"/>
      <c r="F275" s="3" t="s">
        <v>512</v>
      </c>
      <c r="G275" s="5"/>
    </row>
    <row r="276" customFormat="false" ht="15" hidden="false" customHeight="false" outlineLevel="0" collapsed="false">
      <c r="A276" s="3" t="s">
        <v>304</v>
      </c>
      <c r="B276" s="3" t="s">
        <v>805</v>
      </c>
      <c r="C276" s="3" t="s">
        <v>564</v>
      </c>
      <c r="D276" s="3" t="s">
        <v>514</v>
      </c>
      <c r="E276" s="6" t="n">
        <v>160</v>
      </c>
      <c r="F276" s="3" t="s">
        <v>532</v>
      </c>
      <c r="G276" s="5" t="n">
        <v>46174</v>
      </c>
    </row>
    <row r="277" customFormat="false" ht="15" hidden="false" customHeight="false" outlineLevel="0" collapsed="false">
      <c r="A277" s="3" t="s">
        <v>304</v>
      </c>
      <c r="B277" s="3" t="s">
        <v>806</v>
      </c>
      <c r="C277" s="3" t="s">
        <v>510</v>
      </c>
      <c r="D277" s="3" t="s">
        <v>514</v>
      </c>
      <c r="E277" s="6" t="n">
        <v>470</v>
      </c>
      <c r="F277" s="3" t="s">
        <v>532</v>
      </c>
      <c r="G277" s="5" t="n">
        <v>46162</v>
      </c>
    </row>
    <row r="278" customFormat="false" ht="15" hidden="false" customHeight="false" outlineLevel="0" collapsed="false">
      <c r="A278" s="3" t="s">
        <v>304</v>
      </c>
      <c r="B278" s="3" t="s">
        <v>807</v>
      </c>
      <c r="C278" s="3" t="s">
        <v>524</v>
      </c>
      <c r="D278" s="3" t="s">
        <v>520</v>
      </c>
      <c r="E278" s="6"/>
      <c r="F278" s="3" t="s">
        <v>532</v>
      </c>
      <c r="G278" s="5"/>
    </row>
    <row r="279" customFormat="false" ht="15" hidden="false" customHeight="false" outlineLevel="0" collapsed="false">
      <c r="A279" s="3" t="s">
        <v>304</v>
      </c>
      <c r="B279" s="3" t="s">
        <v>808</v>
      </c>
      <c r="C279" s="3" t="s">
        <v>531</v>
      </c>
      <c r="D279" s="3" t="s">
        <v>511</v>
      </c>
      <c r="E279" s="6"/>
      <c r="F279" s="3" t="s">
        <v>532</v>
      </c>
      <c r="G279" s="5"/>
    </row>
    <row r="280" customFormat="false" ht="15" hidden="false" customHeight="false" outlineLevel="0" collapsed="false">
      <c r="A280" s="3" t="s">
        <v>304</v>
      </c>
      <c r="B280" s="3" t="s">
        <v>809</v>
      </c>
      <c r="C280" s="3" t="s">
        <v>552</v>
      </c>
      <c r="D280" s="3" t="s">
        <v>511</v>
      </c>
      <c r="E280" s="6"/>
      <c r="F280" s="3" t="s">
        <v>532</v>
      </c>
      <c r="G280" s="5"/>
    </row>
    <row r="281" customFormat="false" ht="15" hidden="false" customHeight="false" outlineLevel="0" collapsed="false">
      <c r="A281" s="3" t="s">
        <v>304</v>
      </c>
      <c r="B281" s="3" t="s">
        <v>810</v>
      </c>
      <c r="C281" s="3" t="s">
        <v>538</v>
      </c>
      <c r="D281" s="3" t="s">
        <v>514</v>
      </c>
      <c r="E281" s="6" t="n">
        <v>390</v>
      </c>
      <c r="F281" s="3" t="s">
        <v>532</v>
      </c>
      <c r="G281" s="5" t="n">
        <v>46192</v>
      </c>
    </row>
    <row r="282" customFormat="false" ht="15" hidden="false" customHeight="false" outlineLevel="0" collapsed="false">
      <c r="A282" s="3" t="s">
        <v>304</v>
      </c>
      <c r="B282" s="3" t="s">
        <v>811</v>
      </c>
      <c r="C282" s="3" t="s">
        <v>516</v>
      </c>
      <c r="D282" s="3" t="s">
        <v>520</v>
      </c>
      <c r="E282" s="6"/>
      <c r="F282" s="3" t="s">
        <v>532</v>
      </c>
      <c r="G282" s="5"/>
    </row>
    <row r="283" customFormat="false" ht="15" hidden="false" customHeight="false" outlineLevel="0" collapsed="false">
      <c r="A283" s="3" t="s">
        <v>304</v>
      </c>
      <c r="B283" s="3" t="s">
        <v>812</v>
      </c>
      <c r="C283" s="3" t="s">
        <v>529</v>
      </c>
      <c r="D283" s="3" t="s">
        <v>520</v>
      </c>
      <c r="E283" s="6"/>
      <c r="F283" s="3" t="s">
        <v>532</v>
      </c>
      <c r="G283" s="5"/>
    </row>
    <row r="284" customFormat="false" ht="15" hidden="false" customHeight="false" outlineLevel="0" collapsed="false">
      <c r="A284" s="3" t="s">
        <v>306</v>
      </c>
      <c r="B284" s="3" t="s">
        <v>813</v>
      </c>
      <c r="C284" s="3" t="s">
        <v>564</v>
      </c>
      <c r="D284" s="3" t="s">
        <v>514</v>
      </c>
      <c r="E284" s="6" t="n">
        <v>60</v>
      </c>
      <c r="F284" s="3" t="s">
        <v>512</v>
      </c>
      <c r="G284" s="5" t="n">
        <v>46120</v>
      </c>
    </row>
    <row r="285" customFormat="false" ht="15" hidden="false" customHeight="false" outlineLevel="0" collapsed="false">
      <c r="A285" s="3" t="s">
        <v>306</v>
      </c>
      <c r="B285" s="3" t="s">
        <v>814</v>
      </c>
      <c r="C285" s="3" t="s">
        <v>543</v>
      </c>
      <c r="D285" s="3" t="s">
        <v>514</v>
      </c>
      <c r="E285" s="6" t="n">
        <v>110</v>
      </c>
      <c r="F285" s="3" t="s">
        <v>512</v>
      </c>
      <c r="G285" s="5" t="n">
        <v>46160</v>
      </c>
    </row>
    <row r="286" customFormat="false" ht="15" hidden="false" customHeight="false" outlineLevel="0" collapsed="false">
      <c r="A286" s="3" t="s">
        <v>306</v>
      </c>
      <c r="B286" s="3" t="s">
        <v>815</v>
      </c>
      <c r="C286" s="3" t="s">
        <v>516</v>
      </c>
      <c r="D286" s="3" t="s">
        <v>514</v>
      </c>
      <c r="E286" s="6" t="n">
        <v>195</v>
      </c>
      <c r="F286" s="3" t="s">
        <v>512</v>
      </c>
      <c r="G286" s="5" t="n">
        <v>46174</v>
      </c>
    </row>
    <row r="287" customFormat="false" ht="15" hidden="false" customHeight="false" outlineLevel="0" collapsed="false">
      <c r="A287" s="3" t="s">
        <v>308</v>
      </c>
      <c r="B287" s="3" t="s">
        <v>816</v>
      </c>
      <c r="C287" s="3" t="s">
        <v>543</v>
      </c>
      <c r="D287" s="3" t="s">
        <v>511</v>
      </c>
      <c r="E287" s="6"/>
      <c r="F287" s="3" t="s">
        <v>512</v>
      </c>
      <c r="G287" s="5"/>
    </row>
    <row r="288" customFormat="false" ht="15" hidden="false" customHeight="false" outlineLevel="0" collapsed="false">
      <c r="A288" s="3" t="s">
        <v>308</v>
      </c>
      <c r="B288" s="3" t="s">
        <v>817</v>
      </c>
      <c r="C288" s="3" t="s">
        <v>531</v>
      </c>
      <c r="D288" s="3" t="s">
        <v>514</v>
      </c>
      <c r="E288" s="6" t="n">
        <v>120</v>
      </c>
      <c r="F288" s="3" t="s">
        <v>512</v>
      </c>
      <c r="G288" s="5" t="n">
        <v>46128</v>
      </c>
    </row>
    <row r="289" customFormat="false" ht="15" hidden="false" customHeight="false" outlineLevel="0" collapsed="false">
      <c r="A289" s="3" t="s">
        <v>308</v>
      </c>
      <c r="B289" s="3" t="s">
        <v>818</v>
      </c>
      <c r="C289" s="3" t="s">
        <v>548</v>
      </c>
      <c r="D289" s="3" t="s">
        <v>514</v>
      </c>
      <c r="E289" s="6" t="n">
        <v>85</v>
      </c>
      <c r="F289" s="3" t="s">
        <v>512</v>
      </c>
      <c r="G289" s="5" t="n">
        <v>46138</v>
      </c>
    </row>
    <row r="290" customFormat="false" ht="15" hidden="false" customHeight="false" outlineLevel="0" collapsed="false">
      <c r="A290" s="3" t="s">
        <v>308</v>
      </c>
      <c r="B290" s="3" t="s">
        <v>819</v>
      </c>
      <c r="C290" s="3" t="s">
        <v>552</v>
      </c>
      <c r="D290" s="3" t="s">
        <v>514</v>
      </c>
      <c r="E290" s="6" t="n">
        <v>25</v>
      </c>
      <c r="F290" s="3" t="s">
        <v>512</v>
      </c>
      <c r="G290" s="5" t="n">
        <v>46129</v>
      </c>
    </row>
    <row r="291" customFormat="false" ht="15" hidden="false" customHeight="false" outlineLevel="0" collapsed="false">
      <c r="A291" s="3" t="s">
        <v>310</v>
      </c>
      <c r="B291" s="3" t="s">
        <v>820</v>
      </c>
      <c r="C291" s="3" t="s">
        <v>575</v>
      </c>
      <c r="D291" s="3" t="s">
        <v>514</v>
      </c>
      <c r="E291" s="6" t="n">
        <v>80</v>
      </c>
      <c r="F291" s="3" t="s">
        <v>512</v>
      </c>
      <c r="G291" s="5" t="n">
        <v>46217</v>
      </c>
    </row>
    <row r="292" customFormat="false" ht="15" hidden="false" customHeight="false" outlineLevel="0" collapsed="false">
      <c r="A292" s="3" t="s">
        <v>310</v>
      </c>
      <c r="B292" s="3" t="s">
        <v>821</v>
      </c>
      <c r="C292" s="3" t="s">
        <v>543</v>
      </c>
      <c r="D292" s="3" t="s">
        <v>511</v>
      </c>
      <c r="E292" s="6"/>
      <c r="F292" s="3" t="s">
        <v>512</v>
      </c>
      <c r="G292" s="5"/>
    </row>
    <row r="293" customFormat="false" ht="15" hidden="false" customHeight="false" outlineLevel="0" collapsed="false">
      <c r="A293" s="3" t="s">
        <v>310</v>
      </c>
      <c r="B293" s="3" t="s">
        <v>822</v>
      </c>
      <c r="C293" s="3" t="s">
        <v>540</v>
      </c>
      <c r="D293" s="3" t="s">
        <v>514</v>
      </c>
      <c r="E293" s="6" t="n">
        <v>35</v>
      </c>
      <c r="F293" s="3" t="s">
        <v>512</v>
      </c>
      <c r="G293" s="5" t="n">
        <v>46170</v>
      </c>
    </row>
    <row r="294" customFormat="false" ht="15" hidden="false" customHeight="false" outlineLevel="0" collapsed="false">
      <c r="A294" s="3" t="s">
        <v>310</v>
      </c>
      <c r="B294" s="3" t="s">
        <v>823</v>
      </c>
      <c r="C294" s="3" t="s">
        <v>564</v>
      </c>
      <c r="D294" s="3" t="s">
        <v>520</v>
      </c>
      <c r="E294" s="6"/>
      <c r="F294" s="3" t="s">
        <v>512</v>
      </c>
      <c r="G294" s="5"/>
    </row>
    <row r="295" customFormat="false" ht="15" hidden="false" customHeight="false" outlineLevel="0" collapsed="false">
      <c r="A295" s="3" t="s">
        <v>310</v>
      </c>
      <c r="B295" s="3" t="s">
        <v>824</v>
      </c>
      <c r="C295" s="3" t="s">
        <v>516</v>
      </c>
      <c r="D295" s="3" t="s">
        <v>514</v>
      </c>
      <c r="E295" s="6" t="n">
        <v>185</v>
      </c>
      <c r="F295" s="3" t="s">
        <v>512</v>
      </c>
      <c r="G295" s="5" t="n">
        <v>46217</v>
      </c>
    </row>
    <row r="296" customFormat="false" ht="15" hidden="false" customHeight="false" outlineLevel="0" collapsed="false">
      <c r="A296" s="3" t="s">
        <v>310</v>
      </c>
      <c r="B296" s="3" t="s">
        <v>825</v>
      </c>
      <c r="C296" s="3" t="s">
        <v>538</v>
      </c>
      <c r="D296" s="3" t="s">
        <v>511</v>
      </c>
      <c r="E296" s="6"/>
      <c r="F296" s="3" t="s">
        <v>512</v>
      </c>
      <c r="G296" s="5"/>
    </row>
    <row r="297" customFormat="false" ht="15" hidden="false" customHeight="false" outlineLevel="0" collapsed="false">
      <c r="A297" s="3" t="s">
        <v>312</v>
      </c>
      <c r="B297" s="3" t="s">
        <v>826</v>
      </c>
      <c r="C297" s="3" t="s">
        <v>516</v>
      </c>
      <c r="D297" s="3" t="s">
        <v>514</v>
      </c>
      <c r="E297" s="6" t="n">
        <v>180</v>
      </c>
      <c r="F297" s="3" t="s">
        <v>512</v>
      </c>
      <c r="G297" s="5" t="n">
        <v>46141</v>
      </c>
    </row>
    <row r="298" customFormat="false" ht="15" hidden="false" customHeight="false" outlineLevel="0" collapsed="false">
      <c r="A298" s="3" t="s">
        <v>313</v>
      </c>
      <c r="B298" s="3" t="s">
        <v>827</v>
      </c>
      <c r="C298" s="3" t="s">
        <v>529</v>
      </c>
      <c r="D298" s="3" t="s">
        <v>514</v>
      </c>
      <c r="E298" s="6" t="n">
        <v>145</v>
      </c>
      <c r="F298" s="3" t="s">
        <v>512</v>
      </c>
      <c r="G298" s="5" t="n">
        <v>46187</v>
      </c>
    </row>
    <row r="299" customFormat="false" ht="15" hidden="false" customHeight="false" outlineLevel="0" collapsed="false">
      <c r="A299" s="3" t="s">
        <v>313</v>
      </c>
      <c r="B299" s="3" t="s">
        <v>828</v>
      </c>
      <c r="C299" s="3" t="s">
        <v>535</v>
      </c>
      <c r="D299" s="3" t="s">
        <v>520</v>
      </c>
      <c r="E299" s="6"/>
      <c r="F299" s="3" t="s">
        <v>512</v>
      </c>
      <c r="G299" s="5"/>
    </row>
    <row r="300" customFormat="false" ht="15" hidden="false" customHeight="false" outlineLevel="0" collapsed="false">
      <c r="A300" s="3" t="s">
        <v>315</v>
      </c>
      <c r="B300" s="3" t="s">
        <v>829</v>
      </c>
      <c r="C300" s="3" t="s">
        <v>518</v>
      </c>
      <c r="D300" s="3" t="s">
        <v>514</v>
      </c>
      <c r="E300" s="6" t="n">
        <v>40</v>
      </c>
      <c r="F300" s="3" t="s">
        <v>512</v>
      </c>
      <c r="G300" s="5" t="n">
        <v>46178</v>
      </c>
    </row>
    <row r="301" customFormat="false" ht="15" hidden="false" customHeight="false" outlineLevel="0" collapsed="false">
      <c r="A301" s="3" t="s">
        <v>315</v>
      </c>
      <c r="B301" s="3" t="s">
        <v>830</v>
      </c>
      <c r="C301" s="3" t="s">
        <v>526</v>
      </c>
      <c r="D301" s="3" t="s">
        <v>511</v>
      </c>
      <c r="E301" s="6"/>
      <c r="F301" s="3" t="s">
        <v>512</v>
      </c>
      <c r="G301" s="5"/>
    </row>
    <row r="302" customFormat="false" ht="15" hidden="false" customHeight="false" outlineLevel="0" collapsed="false">
      <c r="A302" s="3" t="s">
        <v>315</v>
      </c>
      <c r="B302" s="3" t="s">
        <v>831</v>
      </c>
      <c r="C302" s="3" t="s">
        <v>522</v>
      </c>
      <c r="D302" s="3" t="s">
        <v>514</v>
      </c>
      <c r="E302" s="6" t="n">
        <v>55</v>
      </c>
      <c r="F302" s="3" t="s">
        <v>512</v>
      </c>
      <c r="G302" s="5" t="n">
        <v>46182</v>
      </c>
    </row>
    <row r="303" customFormat="false" ht="15" hidden="false" customHeight="false" outlineLevel="0" collapsed="false">
      <c r="A303" s="3" t="s">
        <v>315</v>
      </c>
      <c r="B303" s="3" t="s">
        <v>832</v>
      </c>
      <c r="C303" s="3" t="s">
        <v>575</v>
      </c>
      <c r="D303" s="3" t="s">
        <v>514</v>
      </c>
      <c r="E303" s="6" t="n">
        <v>200</v>
      </c>
      <c r="F303" s="3" t="s">
        <v>512</v>
      </c>
      <c r="G303" s="5" t="n">
        <v>46183</v>
      </c>
    </row>
    <row r="304" customFormat="false" ht="15" hidden="false" customHeight="false" outlineLevel="0" collapsed="false">
      <c r="A304" s="3" t="s">
        <v>315</v>
      </c>
      <c r="B304" s="3" t="s">
        <v>833</v>
      </c>
      <c r="C304" s="3" t="s">
        <v>564</v>
      </c>
      <c r="D304" s="3" t="s">
        <v>514</v>
      </c>
      <c r="E304" s="6" t="n">
        <v>110</v>
      </c>
      <c r="F304" s="3" t="s">
        <v>512</v>
      </c>
      <c r="G304" s="5" t="n">
        <v>46145</v>
      </c>
    </row>
    <row r="305" customFormat="false" ht="15" hidden="false" customHeight="false" outlineLevel="0" collapsed="false">
      <c r="A305" s="3" t="s">
        <v>315</v>
      </c>
      <c r="B305" s="3" t="s">
        <v>834</v>
      </c>
      <c r="C305" s="3" t="s">
        <v>538</v>
      </c>
      <c r="D305" s="3" t="s">
        <v>514</v>
      </c>
      <c r="E305" s="6" t="n">
        <v>95</v>
      </c>
      <c r="F305" s="3" t="s">
        <v>512</v>
      </c>
      <c r="G305" s="5" t="n">
        <v>46142</v>
      </c>
    </row>
    <row r="306" customFormat="false" ht="15" hidden="false" customHeight="false" outlineLevel="0" collapsed="false">
      <c r="A306" s="3" t="s">
        <v>317</v>
      </c>
      <c r="B306" s="3" t="s">
        <v>835</v>
      </c>
      <c r="C306" s="3" t="s">
        <v>524</v>
      </c>
      <c r="D306" s="3" t="s">
        <v>514</v>
      </c>
      <c r="E306" s="6" t="n">
        <v>110</v>
      </c>
      <c r="F306" s="3" t="s">
        <v>512</v>
      </c>
      <c r="G306" s="5" t="n">
        <v>46181</v>
      </c>
    </row>
    <row r="307" customFormat="false" ht="15" hidden="false" customHeight="false" outlineLevel="0" collapsed="false">
      <c r="A307" s="3" t="s">
        <v>317</v>
      </c>
      <c r="B307" s="3" t="s">
        <v>836</v>
      </c>
      <c r="C307" s="3" t="s">
        <v>531</v>
      </c>
      <c r="D307" s="3" t="s">
        <v>514</v>
      </c>
      <c r="E307" s="6" t="n">
        <v>75</v>
      </c>
      <c r="F307" s="3" t="s">
        <v>512</v>
      </c>
      <c r="G307" s="5" t="n">
        <v>46123</v>
      </c>
    </row>
    <row r="308" customFormat="false" ht="15" hidden="false" customHeight="false" outlineLevel="0" collapsed="false">
      <c r="A308" s="3" t="s">
        <v>317</v>
      </c>
      <c r="B308" s="3" t="s">
        <v>837</v>
      </c>
      <c r="C308" s="3" t="s">
        <v>529</v>
      </c>
      <c r="D308" s="3" t="s">
        <v>514</v>
      </c>
      <c r="E308" s="6" t="n">
        <v>90</v>
      </c>
      <c r="F308" s="3" t="s">
        <v>512</v>
      </c>
      <c r="G308" s="5" t="n">
        <v>46163</v>
      </c>
    </row>
    <row r="309" customFormat="false" ht="15" hidden="false" customHeight="false" outlineLevel="0" collapsed="false">
      <c r="A309" s="3" t="s">
        <v>317</v>
      </c>
      <c r="B309" s="3" t="s">
        <v>838</v>
      </c>
      <c r="C309" s="3" t="s">
        <v>538</v>
      </c>
      <c r="D309" s="3" t="s">
        <v>514</v>
      </c>
      <c r="E309" s="6" t="n">
        <v>115</v>
      </c>
      <c r="F309" s="3" t="s">
        <v>512</v>
      </c>
      <c r="G309" s="5" t="n">
        <v>46136</v>
      </c>
    </row>
    <row r="310" customFormat="false" ht="15" hidden="false" customHeight="false" outlineLevel="0" collapsed="false">
      <c r="A310" s="3" t="s">
        <v>317</v>
      </c>
      <c r="B310" s="3" t="s">
        <v>839</v>
      </c>
      <c r="C310" s="3" t="s">
        <v>535</v>
      </c>
      <c r="D310" s="3" t="s">
        <v>520</v>
      </c>
      <c r="E310" s="6"/>
      <c r="F310" s="3" t="s">
        <v>512</v>
      </c>
      <c r="G310" s="5"/>
    </row>
    <row r="311" customFormat="false" ht="15" hidden="false" customHeight="false" outlineLevel="0" collapsed="false">
      <c r="A311" s="3" t="s">
        <v>318</v>
      </c>
      <c r="B311" s="3" t="s">
        <v>840</v>
      </c>
      <c r="C311" s="3" t="s">
        <v>548</v>
      </c>
      <c r="D311" s="3" t="s">
        <v>514</v>
      </c>
      <c r="E311" s="6" t="n">
        <v>145</v>
      </c>
      <c r="F311" s="3" t="s">
        <v>597</v>
      </c>
      <c r="G311" s="5" t="n">
        <v>46198</v>
      </c>
    </row>
    <row r="312" customFormat="false" ht="15" hidden="false" customHeight="false" outlineLevel="0" collapsed="false">
      <c r="A312" s="3" t="s">
        <v>318</v>
      </c>
      <c r="B312" s="3" t="s">
        <v>841</v>
      </c>
      <c r="C312" s="3" t="s">
        <v>538</v>
      </c>
      <c r="D312" s="3" t="s">
        <v>520</v>
      </c>
      <c r="E312" s="6"/>
      <c r="F312" s="3" t="s">
        <v>597</v>
      </c>
      <c r="G312" s="5"/>
    </row>
    <row r="313" customFormat="false" ht="15" hidden="false" customHeight="false" outlineLevel="0" collapsed="false">
      <c r="A313" s="3" t="s">
        <v>318</v>
      </c>
      <c r="B313" s="3" t="s">
        <v>842</v>
      </c>
      <c r="C313" s="3" t="s">
        <v>516</v>
      </c>
      <c r="D313" s="3" t="s">
        <v>514</v>
      </c>
      <c r="E313" s="6" t="n">
        <v>35</v>
      </c>
      <c r="F313" s="3" t="s">
        <v>597</v>
      </c>
      <c r="G313" s="5" t="n">
        <v>46147</v>
      </c>
    </row>
    <row r="314" customFormat="false" ht="15" hidden="false" customHeight="false" outlineLevel="0" collapsed="false">
      <c r="A314" s="3" t="s">
        <v>318</v>
      </c>
      <c r="B314" s="3" t="s">
        <v>843</v>
      </c>
      <c r="C314" s="3" t="s">
        <v>510</v>
      </c>
      <c r="D314" s="3" t="s">
        <v>514</v>
      </c>
      <c r="E314" s="6" t="n">
        <v>45</v>
      </c>
      <c r="F314" s="3" t="s">
        <v>597</v>
      </c>
      <c r="G314" s="5" t="n">
        <v>46155</v>
      </c>
    </row>
    <row r="315" customFormat="false" ht="15" hidden="false" customHeight="false" outlineLevel="0" collapsed="false">
      <c r="A315" s="3" t="s">
        <v>318</v>
      </c>
      <c r="B315" s="3" t="s">
        <v>844</v>
      </c>
      <c r="C315" s="3" t="s">
        <v>535</v>
      </c>
      <c r="D315" s="3" t="s">
        <v>520</v>
      </c>
      <c r="E315" s="6"/>
      <c r="F315" s="3" t="s">
        <v>597</v>
      </c>
      <c r="G315" s="5"/>
    </row>
    <row r="316" customFormat="false" ht="15" hidden="false" customHeight="false" outlineLevel="0" collapsed="false">
      <c r="A316" s="3" t="s">
        <v>318</v>
      </c>
      <c r="B316" s="3" t="s">
        <v>845</v>
      </c>
      <c r="C316" s="3" t="s">
        <v>526</v>
      </c>
      <c r="D316" s="3" t="s">
        <v>514</v>
      </c>
      <c r="E316" s="6" t="n">
        <v>195</v>
      </c>
      <c r="F316" s="3" t="s">
        <v>597</v>
      </c>
      <c r="G316" s="5" t="n">
        <v>46166</v>
      </c>
    </row>
    <row r="317" customFormat="false" ht="15" hidden="false" customHeight="false" outlineLevel="0" collapsed="false">
      <c r="A317" s="3" t="s">
        <v>318</v>
      </c>
      <c r="B317" s="3" t="s">
        <v>846</v>
      </c>
      <c r="C317" s="3" t="s">
        <v>543</v>
      </c>
      <c r="D317" s="3" t="s">
        <v>511</v>
      </c>
      <c r="E317" s="6"/>
      <c r="F317" s="3" t="s">
        <v>597</v>
      </c>
      <c r="G317" s="5"/>
    </row>
    <row r="318" customFormat="false" ht="15" hidden="false" customHeight="false" outlineLevel="0" collapsed="false">
      <c r="A318" s="3" t="s">
        <v>318</v>
      </c>
      <c r="B318" s="3" t="s">
        <v>847</v>
      </c>
      <c r="C318" s="3" t="s">
        <v>524</v>
      </c>
      <c r="D318" s="3" t="s">
        <v>520</v>
      </c>
      <c r="E318" s="6"/>
      <c r="F318" s="3" t="s">
        <v>597</v>
      </c>
      <c r="G318" s="5"/>
    </row>
    <row r="319" customFormat="false" ht="15" hidden="false" customHeight="false" outlineLevel="0" collapsed="false">
      <c r="A319" s="3" t="s">
        <v>319</v>
      </c>
      <c r="B319" s="3" t="s">
        <v>848</v>
      </c>
      <c r="C319" s="3" t="s">
        <v>526</v>
      </c>
      <c r="D319" s="3" t="s">
        <v>520</v>
      </c>
      <c r="E319" s="6"/>
      <c r="F319" s="3" t="s">
        <v>532</v>
      </c>
      <c r="G319" s="5"/>
    </row>
    <row r="320" customFormat="false" ht="15" hidden="false" customHeight="false" outlineLevel="0" collapsed="false">
      <c r="A320" s="3" t="s">
        <v>319</v>
      </c>
      <c r="B320" s="3" t="s">
        <v>849</v>
      </c>
      <c r="C320" s="3" t="s">
        <v>552</v>
      </c>
      <c r="D320" s="3" t="s">
        <v>514</v>
      </c>
      <c r="E320" s="6" t="n">
        <v>560</v>
      </c>
      <c r="F320" s="3" t="s">
        <v>532</v>
      </c>
      <c r="G320" s="5" t="n">
        <v>46158</v>
      </c>
    </row>
    <row r="321" customFormat="false" ht="15" hidden="false" customHeight="false" outlineLevel="0" collapsed="false">
      <c r="A321" s="3" t="s">
        <v>319</v>
      </c>
      <c r="B321" s="3" t="s">
        <v>850</v>
      </c>
      <c r="C321" s="3" t="s">
        <v>575</v>
      </c>
      <c r="D321" s="3" t="s">
        <v>514</v>
      </c>
      <c r="E321" s="6" t="n">
        <v>470</v>
      </c>
      <c r="F321" s="3" t="s">
        <v>532</v>
      </c>
      <c r="G321" s="5" t="n">
        <v>46156</v>
      </c>
    </row>
    <row r="322" customFormat="false" ht="15" hidden="false" customHeight="false" outlineLevel="0" collapsed="false">
      <c r="A322" s="3" t="s">
        <v>319</v>
      </c>
      <c r="B322" s="3" t="s">
        <v>851</v>
      </c>
      <c r="C322" s="3" t="s">
        <v>564</v>
      </c>
      <c r="D322" s="3" t="s">
        <v>520</v>
      </c>
      <c r="E322" s="6"/>
      <c r="F322" s="3" t="s">
        <v>532</v>
      </c>
      <c r="G322" s="5"/>
    </row>
    <row r="323" customFormat="false" ht="15" hidden="false" customHeight="false" outlineLevel="0" collapsed="false">
      <c r="A323" s="3" t="s">
        <v>319</v>
      </c>
      <c r="B323" s="3" t="s">
        <v>852</v>
      </c>
      <c r="C323" s="3" t="s">
        <v>529</v>
      </c>
      <c r="D323" s="3" t="s">
        <v>514</v>
      </c>
      <c r="E323" s="6" t="n">
        <v>220</v>
      </c>
      <c r="F323" s="3" t="s">
        <v>532</v>
      </c>
      <c r="G323" s="5" t="n">
        <v>46145</v>
      </c>
    </row>
    <row r="324" customFormat="false" ht="15" hidden="false" customHeight="false" outlineLevel="0" collapsed="false">
      <c r="A324" s="3" t="s">
        <v>320</v>
      </c>
      <c r="B324" s="3" t="s">
        <v>853</v>
      </c>
      <c r="C324" s="3" t="s">
        <v>524</v>
      </c>
      <c r="D324" s="3" t="s">
        <v>514</v>
      </c>
      <c r="E324" s="6" t="n">
        <v>160</v>
      </c>
      <c r="F324" s="3" t="s">
        <v>532</v>
      </c>
      <c r="G324" s="5" t="n">
        <v>46125</v>
      </c>
    </row>
    <row r="325" customFormat="false" ht="15" hidden="false" customHeight="false" outlineLevel="0" collapsed="false">
      <c r="A325" s="3" t="s">
        <v>320</v>
      </c>
      <c r="B325" s="3" t="s">
        <v>854</v>
      </c>
      <c r="C325" s="3" t="s">
        <v>538</v>
      </c>
      <c r="D325" s="3" t="s">
        <v>520</v>
      </c>
      <c r="E325" s="6"/>
      <c r="F325" s="3" t="s">
        <v>532</v>
      </c>
      <c r="G325" s="5"/>
    </row>
    <row r="326" customFormat="false" ht="15" hidden="false" customHeight="false" outlineLevel="0" collapsed="false">
      <c r="A326" s="3" t="s">
        <v>320</v>
      </c>
      <c r="B326" s="3" t="s">
        <v>855</v>
      </c>
      <c r="C326" s="3" t="s">
        <v>518</v>
      </c>
      <c r="D326" s="3" t="s">
        <v>514</v>
      </c>
      <c r="E326" s="6" t="n">
        <v>570</v>
      </c>
      <c r="F326" s="3" t="s">
        <v>532</v>
      </c>
      <c r="G326" s="5" t="n">
        <v>46141</v>
      </c>
    </row>
    <row r="327" customFormat="false" ht="15" hidden="false" customHeight="false" outlineLevel="0" collapsed="false">
      <c r="A327" s="3" t="s">
        <v>320</v>
      </c>
      <c r="B327" s="3" t="s">
        <v>856</v>
      </c>
      <c r="C327" s="3" t="s">
        <v>522</v>
      </c>
      <c r="D327" s="3" t="s">
        <v>520</v>
      </c>
      <c r="E327" s="6"/>
      <c r="F327" s="3" t="s">
        <v>532</v>
      </c>
      <c r="G327" s="5"/>
    </row>
    <row r="328" customFormat="false" ht="15" hidden="false" customHeight="false" outlineLevel="0" collapsed="false">
      <c r="A328" s="3" t="s">
        <v>320</v>
      </c>
      <c r="B328" s="3" t="s">
        <v>857</v>
      </c>
      <c r="C328" s="3" t="s">
        <v>564</v>
      </c>
      <c r="D328" s="3" t="s">
        <v>514</v>
      </c>
      <c r="E328" s="6" t="n">
        <v>510</v>
      </c>
      <c r="F328" s="3" t="s">
        <v>532</v>
      </c>
      <c r="G328" s="5" t="n">
        <v>46116</v>
      </c>
    </row>
    <row r="329" customFormat="false" ht="15" hidden="false" customHeight="false" outlineLevel="0" collapsed="false">
      <c r="A329" s="3" t="s">
        <v>320</v>
      </c>
      <c r="B329" s="3" t="s">
        <v>858</v>
      </c>
      <c r="C329" s="3" t="s">
        <v>529</v>
      </c>
      <c r="D329" s="3" t="s">
        <v>520</v>
      </c>
      <c r="E329" s="6"/>
      <c r="F329" s="3" t="s">
        <v>532</v>
      </c>
      <c r="G329" s="5"/>
    </row>
    <row r="330" customFormat="false" ht="15" hidden="false" customHeight="false" outlineLevel="0" collapsed="false">
      <c r="A330" s="3" t="s">
        <v>321</v>
      </c>
      <c r="B330" s="3" t="s">
        <v>859</v>
      </c>
      <c r="C330" s="3" t="s">
        <v>531</v>
      </c>
      <c r="D330" s="3" t="s">
        <v>514</v>
      </c>
      <c r="E330" s="6" t="n">
        <v>30</v>
      </c>
      <c r="F330" s="3" t="s">
        <v>512</v>
      </c>
      <c r="G330" s="5" t="n">
        <v>46122</v>
      </c>
    </row>
    <row r="331" customFormat="false" ht="15" hidden="false" customHeight="false" outlineLevel="0" collapsed="false">
      <c r="A331" s="3" t="s">
        <v>321</v>
      </c>
      <c r="B331" s="3" t="s">
        <v>860</v>
      </c>
      <c r="C331" s="3" t="s">
        <v>548</v>
      </c>
      <c r="D331" s="3" t="s">
        <v>511</v>
      </c>
      <c r="E331" s="6"/>
      <c r="F331" s="3" t="s">
        <v>512</v>
      </c>
      <c r="G331" s="5"/>
    </row>
    <row r="332" customFormat="false" ht="15" hidden="false" customHeight="false" outlineLevel="0" collapsed="false">
      <c r="A332" s="3" t="s">
        <v>321</v>
      </c>
      <c r="B332" s="3" t="s">
        <v>861</v>
      </c>
      <c r="C332" s="3" t="s">
        <v>516</v>
      </c>
      <c r="D332" s="3" t="s">
        <v>511</v>
      </c>
      <c r="E332" s="6"/>
      <c r="F332" s="3" t="s">
        <v>512</v>
      </c>
      <c r="G332" s="5"/>
    </row>
    <row r="333" customFormat="false" ht="15" hidden="false" customHeight="false" outlineLevel="0" collapsed="false">
      <c r="A333" s="3" t="s">
        <v>323</v>
      </c>
      <c r="B333" s="3" t="s">
        <v>862</v>
      </c>
      <c r="C333" s="3" t="s">
        <v>518</v>
      </c>
      <c r="D333" s="3" t="s">
        <v>514</v>
      </c>
      <c r="E333" s="6" t="n">
        <v>125</v>
      </c>
      <c r="F333" s="3" t="s">
        <v>512</v>
      </c>
      <c r="G333" s="5" t="n">
        <v>46140</v>
      </c>
    </row>
    <row r="334" customFormat="false" ht="15" hidden="false" customHeight="false" outlineLevel="0" collapsed="false">
      <c r="A334" s="3" t="s">
        <v>326</v>
      </c>
      <c r="B334" s="3" t="s">
        <v>863</v>
      </c>
      <c r="C334" s="3" t="s">
        <v>543</v>
      </c>
      <c r="D334" s="3" t="s">
        <v>514</v>
      </c>
      <c r="E334" s="6" t="n">
        <v>400</v>
      </c>
      <c r="F334" s="3" t="s">
        <v>532</v>
      </c>
      <c r="G334" s="5" t="n">
        <v>46112</v>
      </c>
    </row>
    <row r="335" customFormat="false" ht="15" hidden="false" customHeight="false" outlineLevel="0" collapsed="false">
      <c r="A335" s="3" t="s">
        <v>326</v>
      </c>
      <c r="B335" s="3" t="s">
        <v>864</v>
      </c>
      <c r="C335" s="3" t="s">
        <v>526</v>
      </c>
      <c r="D335" s="3" t="s">
        <v>514</v>
      </c>
      <c r="E335" s="6" t="n">
        <v>160</v>
      </c>
      <c r="F335" s="3" t="s">
        <v>532</v>
      </c>
      <c r="G335" s="5" t="n">
        <v>46162</v>
      </c>
    </row>
    <row r="336" customFormat="false" ht="15" hidden="false" customHeight="false" outlineLevel="0" collapsed="false">
      <c r="A336" s="3" t="s">
        <v>327</v>
      </c>
      <c r="B336" s="3" t="s">
        <v>865</v>
      </c>
      <c r="C336" s="3" t="s">
        <v>535</v>
      </c>
      <c r="D336" s="3" t="s">
        <v>511</v>
      </c>
      <c r="E336" s="6"/>
      <c r="F336" s="3" t="s">
        <v>512</v>
      </c>
      <c r="G336" s="5"/>
    </row>
    <row r="337" customFormat="false" ht="15" hidden="false" customHeight="false" outlineLevel="0" collapsed="false">
      <c r="A337" s="3" t="s">
        <v>327</v>
      </c>
      <c r="B337" s="3" t="s">
        <v>866</v>
      </c>
      <c r="C337" s="3" t="s">
        <v>516</v>
      </c>
      <c r="D337" s="3" t="s">
        <v>514</v>
      </c>
      <c r="E337" s="6" t="n">
        <v>85</v>
      </c>
      <c r="F337" s="3" t="s">
        <v>512</v>
      </c>
      <c r="G337" s="5" t="n">
        <v>46194</v>
      </c>
    </row>
    <row r="338" customFormat="false" ht="15" hidden="false" customHeight="false" outlineLevel="0" collapsed="false">
      <c r="A338" s="3" t="s">
        <v>328</v>
      </c>
      <c r="B338" s="3" t="s">
        <v>867</v>
      </c>
      <c r="C338" s="3" t="s">
        <v>535</v>
      </c>
      <c r="D338" s="3" t="s">
        <v>511</v>
      </c>
      <c r="E338" s="6"/>
      <c r="F338" s="3" t="s">
        <v>532</v>
      </c>
      <c r="G338" s="5"/>
    </row>
    <row r="339" customFormat="false" ht="15" hidden="false" customHeight="false" outlineLevel="0" collapsed="false">
      <c r="A339" s="3" t="s">
        <v>328</v>
      </c>
      <c r="B339" s="3" t="s">
        <v>868</v>
      </c>
      <c r="C339" s="3" t="s">
        <v>538</v>
      </c>
      <c r="D339" s="3" t="s">
        <v>514</v>
      </c>
      <c r="E339" s="6" t="n">
        <v>240</v>
      </c>
      <c r="F339" s="3" t="s">
        <v>532</v>
      </c>
      <c r="G339" s="5" t="n">
        <v>46168</v>
      </c>
    </row>
    <row r="340" customFormat="false" ht="15" hidden="false" customHeight="false" outlineLevel="0" collapsed="false">
      <c r="A340" s="3" t="s">
        <v>328</v>
      </c>
      <c r="B340" s="3" t="s">
        <v>869</v>
      </c>
      <c r="C340" s="3" t="s">
        <v>522</v>
      </c>
      <c r="D340" s="3" t="s">
        <v>520</v>
      </c>
      <c r="E340" s="6"/>
      <c r="F340" s="3" t="s">
        <v>532</v>
      </c>
      <c r="G340" s="5"/>
    </row>
    <row r="341" customFormat="false" ht="15" hidden="false" customHeight="false" outlineLevel="0" collapsed="false">
      <c r="A341" s="3" t="s">
        <v>329</v>
      </c>
      <c r="B341" s="3" t="s">
        <v>870</v>
      </c>
      <c r="C341" s="3" t="s">
        <v>540</v>
      </c>
      <c r="D341" s="3" t="s">
        <v>514</v>
      </c>
      <c r="E341" s="6" t="n">
        <v>195</v>
      </c>
      <c r="F341" s="3" t="s">
        <v>597</v>
      </c>
      <c r="G341" s="5" t="n">
        <v>46160</v>
      </c>
    </row>
    <row r="342" customFormat="false" ht="15" hidden="false" customHeight="false" outlineLevel="0" collapsed="false">
      <c r="A342" s="3" t="s">
        <v>329</v>
      </c>
      <c r="B342" s="3" t="s">
        <v>871</v>
      </c>
      <c r="C342" s="3" t="s">
        <v>518</v>
      </c>
      <c r="D342" s="3" t="s">
        <v>514</v>
      </c>
      <c r="E342" s="6" t="n">
        <v>175</v>
      </c>
      <c r="F342" s="3" t="s">
        <v>597</v>
      </c>
      <c r="G342" s="5" t="n">
        <v>46147</v>
      </c>
    </row>
    <row r="343" customFormat="false" ht="15" hidden="false" customHeight="false" outlineLevel="0" collapsed="false">
      <c r="A343" s="3" t="s">
        <v>331</v>
      </c>
      <c r="B343" s="3" t="s">
        <v>872</v>
      </c>
      <c r="C343" s="3" t="s">
        <v>524</v>
      </c>
      <c r="D343" s="3" t="s">
        <v>514</v>
      </c>
      <c r="E343" s="6" t="n">
        <v>180</v>
      </c>
      <c r="F343" s="3" t="s">
        <v>532</v>
      </c>
      <c r="G343" s="5" t="n">
        <v>46116</v>
      </c>
    </row>
    <row r="344" customFormat="false" ht="15" hidden="false" customHeight="false" outlineLevel="0" collapsed="false">
      <c r="A344" s="3" t="s">
        <v>332</v>
      </c>
      <c r="B344" s="3" t="s">
        <v>873</v>
      </c>
      <c r="C344" s="3" t="s">
        <v>518</v>
      </c>
      <c r="D344" s="3" t="s">
        <v>514</v>
      </c>
      <c r="E344" s="6" t="n">
        <v>155</v>
      </c>
      <c r="F344" s="3" t="s">
        <v>512</v>
      </c>
      <c r="G344" s="5" t="n">
        <v>46129</v>
      </c>
    </row>
    <row r="345" customFormat="false" ht="15" hidden="false" customHeight="false" outlineLevel="0" collapsed="false">
      <c r="A345" s="3" t="s">
        <v>332</v>
      </c>
      <c r="B345" s="3" t="s">
        <v>874</v>
      </c>
      <c r="C345" s="3" t="s">
        <v>540</v>
      </c>
      <c r="D345" s="3" t="s">
        <v>520</v>
      </c>
      <c r="E345" s="6"/>
      <c r="F345" s="3" t="s">
        <v>512</v>
      </c>
      <c r="G345" s="5"/>
    </row>
    <row r="346" customFormat="false" ht="15" hidden="false" customHeight="false" outlineLevel="0" collapsed="false">
      <c r="A346" s="3" t="s">
        <v>332</v>
      </c>
      <c r="B346" s="3" t="s">
        <v>875</v>
      </c>
      <c r="C346" s="3" t="s">
        <v>548</v>
      </c>
      <c r="D346" s="3" t="s">
        <v>514</v>
      </c>
      <c r="E346" s="6" t="n">
        <v>190</v>
      </c>
      <c r="F346" s="3" t="s">
        <v>512</v>
      </c>
      <c r="G346" s="5" t="n">
        <v>46134</v>
      </c>
    </row>
    <row r="347" customFormat="false" ht="15" hidden="false" customHeight="false" outlineLevel="0" collapsed="false">
      <c r="A347" s="3" t="s">
        <v>334</v>
      </c>
      <c r="B347" s="3" t="s">
        <v>876</v>
      </c>
      <c r="C347" s="3" t="s">
        <v>575</v>
      </c>
      <c r="D347" s="3" t="s">
        <v>514</v>
      </c>
      <c r="E347" s="6" t="n">
        <v>560</v>
      </c>
      <c r="F347" s="3" t="s">
        <v>532</v>
      </c>
      <c r="G347" s="5" t="n">
        <v>46155</v>
      </c>
    </row>
    <row r="348" customFormat="false" ht="15" hidden="false" customHeight="false" outlineLevel="0" collapsed="false">
      <c r="A348" s="3" t="s">
        <v>334</v>
      </c>
      <c r="B348" s="3" t="s">
        <v>877</v>
      </c>
      <c r="C348" s="3" t="s">
        <v>564</v>
      </c>
      <c r="D348" s="3" t="s">
        <v>514</v>
      </c>
      <c r="E348" s="6" t="n">
        <v>150</v>
      </c>
      <c r="F348" s="3" t="s">
        <v>532</v>
      </c>
      <c r="G348" s="5" t="n">
        <v>46171</v>
      </c>
    </row>
    <row r="349" customFormat="false" ht="15" hidden="false" customHeight="false" outlineLevel="0" collapsed="false">
      <c r="A349" s="3" t="s">
        <v>334</v>
      </c>
      <c r="B349" s="3" t="s">
        <v>878</v>
      </c>
      <c r="C349" s="3" t="s">
        <v>518</v>
      </c>
      <c r="D349" s="3" t="s">
        <v>520</v>
      </c>
      <c r="E349" s="6"/>
      <c r="F349" s="3" t="s">
        <v>532</v>
      </c>
      <c r="G349" s="5"/>
    </row>
    <row r="350" customFormat="false" ht="15" hidden="false" customHeight="false" outlineLevel="0" collapsed="false">
      <c r="A350" s="3" t="s">
        <v>334</v>
      </c>
      <c r="B350" s="3" t="s">
        <v>879</v>
      </c>
      <c r="C350" s="3" t="s">
        <v>531</v>
      </c>
      <c r="D350" s="3" t="s">
        <v>514</v>
      </c>
      <c r="E350" s="6" t="n">
        <v>220</v>
      </c>
      <c r="F350" s="3" t="s">
        <v>532</v>
      </c>
      <c r="G350" s="5" t="n">
        <v>46157</v>
      </c>
    </row>
    <row r="351" customFormat="false" ht="15" hidden="false" customHeight="false" outlineLevel="0" collapsed="false">
      <c r="A351" s="3" t="s">
        <v>335</v>
      </c>
      <c r="B351" s="3" t="s">
        <v>880</v>
      </c>
      <c r="C351" s="3" t="s">
        <v>552</v>
      </c>
      <c r="D351" s="3" t="s">
        <v>511</v>
      </c>
      <c r="E351" s="6"/>
      <c r="F351" s="3" t="s">
        <v>597</v>
      </c>
      <c r="G351" s="5"/>
    </row>
    <row r="352" customFormat="false" ht="15" hidden="false" customHeight="false" outlineLevel="0" collapsed="false">
      <c r="A352" s="3" t="s">
        <v>337</v>
      </c>
      <c r="B352" s="3" t="s">
        <v>881</v>
      </c>
      <c r="C352" s="3" t="s">
        <v>518</v>
      </c>
      <c r="D352" s="3" t="s">
        <v>520</v>
      </c>
      <c r="E352" s="6"/>
      <c r="F352" s="3" t="s">
        <v>532</v>
      </c>
      <c r="G352" s="5"/>
    </row>
    <row r="353" customFormat="false" ht="15" hidden="false" customHeight="false" outlineLevel="0" collapsed="false">
      <c r="A353" s="3" t="s">
        <v>337</v>
      </c>
      <c r="B353" s="3" t="s">
        <v>882</v>
      </c>
      <c r="C353" s="3" t="s">
        <v>538</v>
      </c>
      <c r="D353" s="3" t="s">
        <v>511</v>
      </c>
      <c r="E353" s="6"/>
      <c r="F353" s="3" t="s">
        <v>532</v>
      </c>
      <c r="G353" s="5"/>
    </row>
    <row r="354" customFormat="false" ht="15" hidden="false" customHeight="false" outlineLevel="0" collapsed="false">
      <c r="A354" s="3" t="s">
        <v>338</v>
      </c>
      <c r="B354" s="3" t="s">
        <v>883</v>
      </c>
      <c r="C354" s="3" t="s">
        <v>564</v>
      </c>
      <c r="D354" s="3" t="s">
        <v>511</v>
      </c>
      <c r="E354" s="6"/>
      <c r="F354" s="3" t="s">
        <v>597</v>
      </c>
      <c r="G354" s="5"/>
    </row>
    <row r="355" customFormat="false" ht="15" hidden="false" customHeight="false" outlineLevel="0" collapsed="false">
      <c r="A355" s="3" t="s">
        <v>338</v>
      </c>
      <c r="B355" s="3" t="s">
        <v>884</v>
      </c>
      <c r="C355" s="3" t="s">
        <v>552</v>
      </c>
      <c r="D355" s="3" t="s">
        <v>511</v>
      </c>
      <c r="E355" s="6"/>
      <c r="F355" s="3" t="s">
        <v>597</v>
      </c>
      <c r="G355" s="5"/>
    </row>
    <row r="356" customFormat="false" ht="15" hidden="false" customHeight="false" outlineLevel="0" collapsed="false">
      <c r="A356" s="3" t="s">
        <v>338</v>
      </c>
      <c r="B356" s="3" t="s">
        <v>885</v>
      </c>
      <c r="C356" s="3" t="s">
        <v>516</v>
      </c>
      <c r="D356" s="3" t="s">
        <v>514</v>
      </c>
      <c r="E356" s="6" t="n">
        <v>85</v>
      </c>
      <c r="F356" s="3" t="s">
        <v>597</v>
      </c>
      <c r="G356" s="5" t="n">
        <v>46176</v>
      </c>
    </row>
    <row r="357" customFormat="false" ht="15" hidden="false" customHeight="false" outlineLevel="0" collapsed="false">
      <c r="A357" s="3" t="s">
        <v>339</v>
      </c>
      <c r="B357" s="3" t="s">
        <v>886</v>
      </c>
      <c r="C357" s="3" t="s">
        <v>564</v>
      </c>
      <c r="D357" s="3" t="s">
        <v>514</v>
      </c>
      <c r="E357" s="6" t="n">
        <v>45</v>
      </c>
      <c r="F357" s="3" t="s">
        <v>512</v>
      </c>
      <c r="G357" s="5" t="n">
        <v>46131</v>
      </c>
    </row>
    <row r="358" customFormat="false" ht="15" hidden="false" customHeight="false" outlineLevel="0" collapsed="false">
      <c r="A358" s="3" t="s">
        <v>341</v>
      </c>
      <c r="B358" s="3" t="s">
        <v>887</v>
      </c>
      <c r="C358" s="3" t="s">
        <v>516</v>
      </c>
      <c r="D358" s="3" t="s">
        <v>511</v>
      </c>
      <c r="E358" s="6"/>
      <c r="F358" s="3" t="s">
        <v>512</v>
      </c>
      <c r="G358" s="5"/>
    </row>
    <row r="359" customFormat="false" ht="15" hidden="false" customHeight="false" outlineLevel="0" collapsed="false">
      <c r="A359" s="3" t="s">
        <v>341</v>
      </c>
      <c r="B359" s="3" t="s">
        <v>888</v>
      </c>
      <c r="C359" s="3" t="s">
        <v>540</v>
      </c>
      <c r="D359" s="3" t="s">
        <v>511</v>
      </c>
      <c r="E359" s="6"/>
      <c r="F359" s="3" t="s">
        <v>512</v>
      </c>
      <c r="G359" s="5"/>
    </row>
    <row r="360" customFormat="false" ht="15" hidden="false" customHeight="false" outlineLevel="0" collapsed="false">
      <c r="A360" s="3" t="s">
        <v>342</v>
      </c>
      <c r="B360" s="3" t="s">
        <v>889</v>
      </c>
      <c r="C360" s="3" t="s">
        <v>531</v>
      </c>
      <c r="D360" s="3" t="s">
        <v>514</v>
      </c>
      <c r="E360" s="6" t="n">
        <v>450</v>
      </c>
      <c r="F360" s="3" t="s">
        <v>532</v>
      </c>
      <c r="G360" s="5" t="n">
        <v>46158</v>
      </c>
    </row>
    <row r="361" customFormat="false" ht="15" hidden="false" customHeight="false" outlineLevel="0" collapsed="false">
      <c r="A361" s="3" t="s">
        <v>342</v>
      </c>
      <c r="B361" s="3" t="s">
        <v>890</v>
      </c>
      <c r="C361" s="3" t="s">
        <v>552</v>
      </c>
      <c r="D361" s="3" t="s">
        <v>514</v>
      </c>
      <c r="E361" s="6" t="n">
        <v>360</v>
      </c>
      <c r="F361" s="3" t="s">
        <v>532</v>
      </c>
      <c r="G361" s="5" t="n">
        <v>46152</v>
      </c>
    </row>
    <row r="362" customFormat="false" ht="15" hidden="false" customHeight="false" outlineLevel="0" collapsed="false">
      <c r="A362" s="3" t="s">
        <v>343</v>
      </c>
      <c r="B362" s="3" t="s">
        <v>891</v>
      </c>
      <c r="C362" s="3" t="s">
        <v>516</v>
      </c>
      <c r="D362" s="3" t="s">
        <v>511</v>
      </c>
      <c r="E362" s="6"/>
      <c r="F362" s="3" t="s">
        <v>512</v>
      </c>
      <c r="G362" s="5"/>
    </row>
    <row r="363" customFormat="false" ht="15" hidden="false" customHeight="false" outlineLevel="0" collapsed="false">
      <c r="A363" s="3" t="s">
        <v>343</v>
      </c>
      <c r="B363" s="3" t="s">
        <v>892</v>
      </c>
      <c r="C363" s="3" t="s">
        <v>531</v>
      </c>
      <c r="D363" s="3" t="s">
        <v>514</v>
      </c>
      <c r="E363" s="6" t="n">
        <v>80</v>
      </c>
      <c r="F363" s="3" t="s">
        <v>512</v>
      </c>
      <c r="G363" s="5" t="n">
        <v>46178</v>
      </c>
    </row>
    <row r="364" customFormat="false" ht="15" hidden="false" customHeight="false" outlineLevel="0" collapsed="false">
      <c r="A364" s="3" t="s">
        <v>343</v>
      </c>
      <c r="B364" s="3" t="s">
        <v>893</v>
      </c>
      <c r="C364" s="3" t="s">
        <v>529</v>
      </c>
      <c r="D364" s="3" t="s">
        <v>514</v>
      </c>
      <c r="E364" s="6" t="n">
        <v>185</v>
      </c>
      <c r="F364" s="3" t="s">
        <v>512</v>
      </c>
      <c r="G364" s="5" t="n">
        <v>46162</v>
      </c>
    </row>
    <row r="365" customFormat="false" ht="15" hidden="false" customHeight="false" outlineLevel="0" collapsed="false">
      <c r="A365" s="3" t="s">
        <v>345</v>
      </c>
      <c r="B365" s="3" t="s">
        <v>894</v>
      </c>
      <c r="C365" s="3" t="s">
        <v>543</v>
      </c>
      <c r="D365" s="3" t="s">
        <v>520</v>
      </c>
      <c r="E365" s="6"/>
      <c r="F365" s="3" t="s">
        <v>512</v>
      </c>
      <c r="G365" s="5"/>
    </row>
    <row r="366" customFormat="false" ht="15" hidden="false" customHeight="false" outlineLevel="0" collapsed="false">
      <c r="A366" s="3" t="s">
        <v>346</v>
      </c>
      <c r="B366" s="3" t="s">
        <v>895</v>
      </c>
      <c r="C366" s="3" t="s">
        <v>518</v>
      </c>
      <c r="D366" s="3" t="s">
        <v>514</v>
      </c>
      <c r="E366" s="6" t="n">
        <v>135</v>
      </c>
      <c r="F366" s="3" t="s">
        <v>512</v>
      </c>
      <c r="G366" s="5" t="n">
        <v>46195</v>
      </c>
    </row>
    <row r="367" customFormat="false" ht="15" hidden="false" customHeight="false" outlineLevel="0" collapsed="false">
      <c r="A367" s="3" t="s">
        <v>346</v>
      </c>
      <c r="B367" s="3" t="s">
        <v>896</v>
      </c>
      <c r="C367" s="3" t="s">
        <v>526</v>
      </c>
      <c r="D367" s="3" t="s">
        <v>514</v>
      </c>
      <c r="E367" s="6" t="n">
        <v>80</v>
      </c>
      <c r="F367" s="3" t="s">
        <v>512</v>
      </c>
      <c r="G367" s="5" t="n">
        <v>46174</v>
      </c>
    </row>
    <row r="368" customFormat="false" ht="15" hidden="false" customHeight="false" outlineLevel="0" collapsed="false">
      <c r="A368" s="3" t="s">
        <v>346</v>
      </c>
      <c r="B368" s="3" t="s">
        <v>897</v>
      </c>
      <c r="C368" s="3" t="s">
        <v>538</v>
      </c>
      <c r="D368" s="3" t="s">
        <v>511</v>
      </c>
      <c r="E368" s="6"/>
      <c r="F368" s="3" t="s">
        <v>512</v>
      </c>
      <c r="G368" s="5"/>
    </row>
    <row r="369" customFormat="false" ht="15" hidden="false" customHeight="false" outlineLevel="0" collapsed="false">
      <c r="A369" s="3" t="s">
        <v>348</v>
      </c>
      <c r="B369" s="3" t="s">
        <v>898</v>
      </c>
      <c r="C369" s="3" t="s">
        <v>531</v>
      </c>
      <c r="D369" s="3" t="s">
        <v>520</v>
      </c>
      <c r="E369" s="6"/>
      <c r="F369" s="3" t="s">
        <v>532</v>
      </c>
      <c r="G369" s="5"/>
    </row>
    <row r="370" customFormat="false" ht="15" hidden="false" customHeight="false" outlineLevel="0" collapsed="false">
      <c r="A370" s="3" t="s">
        <v>349</v>
      </c>
      <c r="B370" s="3" t="s">
        <v>899</v>
      </c>
      <c r="C370" s="3" t="s">
        <v>575</v>
      </c>
      <c r="D370" s="3" t="s">
        <v>514</v>
      </c>
      <c r="E370" s="6" t="n">
        <v>160</v>
      </c>
      <c r="F370" s="3" t="s">
        <v>512</v>
      </c>
      <c r="G370" s="5" t="n">
        <v>46175</v>
      </c>
    </row>
    <row r="371" customFormat="false" ht="15" hidden="false" customHeight="false" outlineLevel="0" collapsed="false">
      <c r="A371" s="3" t="s">
        <v>349</v>
      </c>
      <c r="B371" s="3" t="s">
        <v>900</v>
      </c>
      <c r="C371" s="3" t="s">
        <v>540</v>
      </c>
      <c r="D371" s="3" t="s">
        <v>511</v>
      </c>
      <c r="E371" s="6"/>
      <c r="F371" s="3" t="s">
        <v>512</v>
      </c>
      <c r="G371" s="5"/>
    </row>
    <row r="372" customFormat="false" ht="15" hidden="false" customHeight="false" outlineLevel="0" collapsed="false">
      <c r="A372" s="3" t="s">
        <v>349</v>
      </c>
      <c r="B372" s="3" t="s">
        <v>901</v>
      </c>
      <c r="C372" s="3" t="s">
        <v>510</v>
      </c>
      <c r="D372" s="3" t="s">
        <v>514</v>
      </c>
      <c r="E372" s="6" t="n">
        <v>190</v>
      </c>
      <c r="F372" s="3" t="s">
        <v>512</v>
      </c>
      <c r="G372" s="5" t="n">
        <v>46161</v>
      </c>
    </row>
    <row r="373" customFormat="false" ht="15" hidden="false" customHeight="false" outlineLevel="0" collapsed="false">
      <c r="A373" s="3" t="s">
        <v>349</v>
      </c>
      <c r="B373" s="3" t="s">
        <v>902</v>
      </c>
      <c r="C373" s="3" t="s">
        <v>526</v>
      </c>
      <c r="D373" s="3" t="s">
        <v>511</v>
      </c>
      <c r="E373" s="6"/>
      <c r="F373" s="3" t="s">
        <v>512</v>
      </c>
      <c r="G373" s="5"/>
    </row>
    <row r="374" customFormat="false" ht="15" hidden="false" customHeight="false" outlineLevel="0" collapsed="false">
      <c r="A374" s="3" t="s">
        <v>349</v>
      </c>
      <c r="B374" s="3" t="s">
        <v>903</v>
      </c>
      <c r="C374" s="3" t="s">
        <v>538</v>
      </c>
      <c r="D374" s="3" t="s">
        <v>514</v>
      </c>
      <c r="E374" s="6" t="n">
        <v>40</v>
      </c>
      <c r="F374" s="3" t="s">
        <v>512</v>
      </c>
      <c r="G374" s="5" t="n">
        <v>46134</v>
      </c>
    </row>
    <row r="375" customFormat="false" ht="15" hidden="false" customHeight="false" outlineLevel="0" collapsed="false">
      <c r="A375" s="3" t="s">
        <v>349</v>
      </c>
      <c r="B375" s="3" t="s">
        <v>904</v>
      </c>
      <c r="C375" s="3" t="s">
        <v>564</v>
      </c>
      <c r="D375" s="3" t="s">
        <v>520</v>
      </c>
      <c r="E375" s="6"/>
      <c r="F375" s="3" t="s">
        <v>512</v>
      </c>
      <c r="G375" s="5"/>
    </row>
    <row r="376" customFormat="false" ht="15" hidden="false" customHeight="false" outlineLevel="0" collapsed="false">
      <c r="A376" s="3" t="s">
        <v>351</v>
      </c>
      <c r="B376" s="3" t="s">
        <v>905</v>
      </c>
      <c r="C376" s="3" t="s">
        <v>564</v>
      </c>
      <c r="D376" s="3" t="s">
        <v>514</v>
      </c>
      <c r="E376" s="6" t="n">
        <v>110</v>
      </c>
      <c r="F376" s="3" t="s">
        <v>597</v>
      </c>
      <c r="G376" s="5" t="n">
        <v>46190</v>
      </c>
    </row>
    <row r="377" customFormat="false" ht="15" hidden="false" customHeight="false" outlineLevel="0" collapsed="false">
      <c r="A377" s="3" t="s">
        <v>351</v>
      </c>
      <c r="B377" s="3" t="s">
        <v>906</v>
      </c>
      <c r="C377" s="3" t="s">
        <v>526</v>
      </c>
      <c r="D377" s="3" t="s">
        <v>514</v>
      </c>
      <c r="E377" s="6" t="n">
        <v>45</v>
      </c>
      <c r="F377" s="3" t="s">
        <v>597</v>
      </c>
      <c r="G377" s="5" t="n">
        <v>46205</v>
      </c>
    </row>
    <row r="378" customFormat="false" ht="15" hidden="false" customHeight="false" outlineLevel="0" collapsed="false">
      <c r="A378" s="3" t="s">
        <v>351</v>
      </c>
      <c r="B378" s="3" t="s">
        <v>907</v>
      </c>
      <c r="C378" s="3" t="s">
        <v>548</v>
      </c>
      <c r="D378" s="3" t="s">
        <v>514</v>
      </c>
      <c r="E378" s="6" t="n">
        <v>60</v>
      </c>
      <c r="F378" s="3" t="s">
        <v>597</v>
      </c>
      <c r="G378" s="5" t="n">
        <v>46218</v>
      </c>
    </row>
    <row r="379" customFormat="false" ht="15" hidden="false" customHeight="false" outlineLevel="0" collapsed="false">
      <c r="A379" s="3" t="s">
        <v>351</v>
      </c>
      <c r="B379" s="3" t="s">
        <v>908</v>
      </c>
      <c r="C379" s="3" t="s">
        <v>535</v>
      </c>
      <c r="D379" s="3" t="s">
        <v>514</v>
      </c>
      <c r="E379" s="6" t="n">
        <v>130</v>
      </c>
      <c r="F379" s="3" t="s">
        <v>597</v>
      </c>
      <c r="G379" s="5" t="n">
        <v>46207</v>
      </c>
    </row>
    <row r="380" customFormat="false" ht="15" hidden="false" customHeight="false" outlineLevel="0" collapsed="false">
      <c r="A380" s="3" t="s">
        <v>352</v>
      </c>
      <c r="B380" s="3" t="s">
        <v>909</v>
      </c>
      <c r="C380" s="3" t="s">
        <v>516</v>
      </c>
      <c r="D380" s="3" t="s">
        <v>511</v>
      </c>
      <c r="E380" s="6"/>
      <c r="F380" s="3" t="s">
        <v>532</v>
      </c>
      <c r="G380" s="5"/>
    </row>
    <row r="381" customFormat="false" ht="15" hidden="false" customHeight="false" outlineLevel="0" collapsed="false">
      <c r="A381" s="3" t="s">
        <v>352</v>
      </c>
      <c r="B381" s="3" t="s">
        <v>910</v>
      </c>
      <c r="C381" s="3" t="s">
        <v>524</v>
      </c>
      <c r="D381" s="3" t="s">
        <v>514</v>
      </c>
      <c r="E381" s="6" t="n">
        <v>560</v>
      </c>
      <c r="F381" s="3" t="s">
        <v>532</v>
      </c>
      <c r="G381" s="5" t="n">
        <v>46166</v>
      </c>
    </row>
    <row r="382" customFormat="false" ht="15" hidden="false" customHeight="false" outlineLevel="0" collapsed="false">
      <c r="A382" s="3" t="s">
        <v>352</v>
      </c>
      <c r="B382" s="3" t="s">
        <v>911</v>
      </c>
      <c r="C382" s="3" t="s">
        <v>510</v>
      </c>
      <c r="D382" s="3" t="s">
        <v>514</v>
      </c>
      <c r="E382" s="6" t="n">
        <v>410</v>
      </c>
      <c r="F382" s="3" t="s">
        <v>532</v>
      </c>
      <c r="G382" s="5" t="n">
        <v>46184</v>
      </c>
    </row>
    <row r="383" customFormat="false" ht="15" hidden="false" customHeight="false" outlineLevel="0" collapsed="false">
      <c r="A383" s="3" t="s">
        <v>352</v>
      </c>
      <c r="B383" s="3" t="s">
        <v>912</v>
      </c>
      <c r="C383" s="3" t="s">
        <v>575</v>
      </c>
      <c r="D383" s="3" t="s">
        <v>514</v>
      </c>
      <c r="E383" s="6" t="n">
        <v>80</v>
      </c>
      <c r="F383" s="3" t="s">
        <v>532</v>
      </c>
      <c r="G383" s="5" t="n">
        <v>46163</v>
      </c>
    </row>
    <row r="384" customFormat="false" ht="15" hidden="false" customHeight="false" outlineLevel="0" collapsed="false">
      <c r="A384" s="3" t="s">
        <v>352</v>
      </c>
      <c r="B384" s="3" t="s">
        <v>913</v>
      </c>
      <c r="C384" s="3" t="s">
        <v>518</v>
      </c>
      <c r="D384" s="3" t="s">
        <v>514</v>
      </c>
      <c r="E384" s="6" t="n">
        <v>180</v>
      </c>
      <c r="F384" s="3" t="s">
        <v>532</v>
      </c>
      <c r="G384" s="5" t="n">
        <v>46175</v>
      </c>
    </row>
    <row r="385" customFormat="false" ht="15" hidden="false" customHeight="false" outlineLevel="0" collapsed="false">
      <c r="A385" s="3" t="s">
        <v>353</v>
      </c>
      <c r="B385" s="3" t="s">
        <v>914</v>
      </c>
      <c r="C385" s="3" t="s">
        <v>548</v>
      </c>
      <c r="D385" s="3" t="s">
        <v>514</v>
      </c>
      <c r="E385" s="6" t="n">
        <v>105</v>
      </c>
      <c r="F385" s="3" t="s">
        <v>512</v>
      </c>
      <c r="G385" s="5" t="n">
        <v>46200</v>
      </c>
    </row>
    <row r="386" customFormat="false" ht="15" hidden="false" customHeight="false" outlineLevel="0" collapsed="false">
      <c r="A386" s="3" t="s">
        <v>353</v>
      </c>
      <c r="B386" s="3" t="s">
        <v>915</v>
      </c>
      <c r="C386" s="3" t="s">
        <v>516</v>
      </c>
      <c r="D386" s="3" t="s">
        <v>511</v>
      </c>
      <c r="E386" s="6"/>
      <c r="F386" s="3" t="s">
        <v>512</v>
      </c>
      <c r="G386" s="5"/>
    </row>
    <row r="387" customFormat="false" ht="15" hidden="false" customHeight="false" outlineLevel="0" collapsed="false">
      <c r="A387" s="3" t="s">
        <v>353</v>
      </c>
      <c r="B387" s="3" t="s">
        <v>916</v>
      </c>
      <c r="C387" s="3" t="s">
        <v>518</v>
      </c>
      <c r="D387" s="3" t="s">
        <v>514</v>
      </c>
      <c r="E387" s="6" t="n">
        <v>125</v>
      </c>
      <c r="F387" s="3" t="s">
        <v>512</v>
      </c>
      <c r="G387" s="5" t="n">
        <v>46155</v>
      </c>
    </row>
    <row r="388" customFormat="false" ht="15" hidden="false" customHeight="false" outlineLevel="0" collapsed="false">
      <c r="A388" s="3" t="s">
        <v>353</v>
      </c>
      <c r="B388" s="3" t="s">
        <v>917</v>
      </c>
      <c r="C388" s="3" t="s">
        <v>524</v>
      </c>
      <c r="D388" s="3" t="s">
        <v>514</v>
      </c>
      <c r="E388" s="6" t="n">
        <v>20</v>
      </c>
      <c r="F388" s="3" t="s">
        <v>512</v>
      </c>
      <c r="G388" s="5" t="n">
        <v>46176</v>
      </c>
    </row>
    <row r="389" customFormat="false" ht="15" hidden="false" customHeight="false" outlineLevel="0" collapsed="false">
      <c r="A389" s="3" t="s">
        <v>353</v>
      </c>
      <c r="B389" s="3" t="s">
        <v>918</v>
      </c>
      <c r="C389" s="3" t="s">
        <v>543</v>
      </c>
      <c r="D389" s="3" t="s">
        <v>520</v>
      </c>
      <c r="E389" s="6"/>
      <c r="F389" s="3" t="s">
        <v>512</v>
      </c>
      <c r="G389" s="5"/>
    </row>
    <row r="390" customFormat="false" ht="15" hidden="false" customHeight="false" outlineLevel="0" collapsed="false">
      <c r="A390" s="3" t="s">
        <v>354</v>
      </c>
      <c r="B390" s="3" t="s">
        <v>919</v>
      </c>
      <c r="C390" s="3" t="s">
        <v>552</v>
      </c>
      <c r="D390" s="3" t="s">
        <v>514</v>
      </c>
      <c r="E390" s="6" t="n">
        <v>230</v>
      </c>
      <c r="F390" s="3" t="s">
        <v>532</v>
      </c>
      <c r="G390" s="5" t="n">
        <v>46152</v>
      </c>
    </row>
    <row r="391" customFormat="false" ht="15" hidden="false" customHeight="false" outlineLevel="0" collapsed="false">
      <c r="A391" s="3" t="s">
        <v>354</v>
      </c>
      <c r="B391" s="3" t="s">
        <v>920</v>
      </c>
      <c r="C391" s="3" t="s">
        <v>524</v>
      </c>
      <c r="D391" s="3" t="s">
        <v>514</v>
      </c>
      <c r="E391" s="6" t="n">
        <v>450</v>
      </c>
      <c r="F391" s="3" t="s">
        <v>532</v>
      </c>
      <c r="G391" s="5" t="n">
        <v>46159</v>
      </c>
    </row>
    <row r="392" customFormat="false" ht="15" hidden="false" customHeight="false" outlineLevel="0" collapsed="false">
      <c r="A392" s="3" t="s">
        <v>354</v>
      </c>
      <c r="B392" s="3" t="s">
        <v>921</v>
      </c>
      <c r="C392" s="3" t="s">
        <v>535</v>
      </c>
      <c r="D392" s="3" t="s">
        <v>520</v>
      </c>
      <c r="E392" s="6"/>
      <c r="F392" s="3" t="s">
        <v>532</v>
      </c>
      <c r="G392" s="5"/>
    </row>
    <row r="393" customFormat="false" ht="15" hidden="false" customHeight="false" outlineLevel="0" collapsed="false">
      <c r="A393" s="3" t="s">
        <v>354</v>
      </c>
      <c r="B393" s="3" t="s">
        <v>922</v>
      </c>
      <c r="C393" s="3" t="s">
        <v>575</v>
      </c>
      <c r="D393" s="3" t="s">
        <v>514</v>
      </c>
      <c r="E393" s="6" t="n">
        <v>70</v>
      </c>
      <c r="F393" s="3" t="s">
        <v>532</v>
      </c>
      <c r="G393" s="5" t="n">
        <v>46131</v>
      </c>
    </row>
    <row r="394" customFormat="false" ht="15" hidden="false" customHeight="false" outlineLevel="0" collapsed="false">
      <c r="A394" s="3" t="s">
        <v>355</v>
      </c>
      <c r="B394" s="3" t="s">
        <v>923</v>
      </c>
      <c r="C394" s="3" t="s">
        <v>535</v>
      </c>
      <c r="D394" s="3" t="s">
        <v>511</v>
      </c>
      <c r="E394" s="6"/>
      <c r="F394" s="3" t="s">
        <v>512</v>
      </c>
      <c r="G394" s="5"/>
    </row>
    <row r="395" customFormat="false" ht="15" hidden="false" customHeight="false" outlineLevel="0" collapsed="false">
      <c r="A395" s="3" t="s">
        <v>355</v>
      </c>
      <c r="B395" s="3" t="s">
        <v>924</v>
      </c>
      <c r="C395" s="3" t="s">
        <v>526</v>
      </c>
      <c r="D395" s="3" t="s">
        <v>511</v>
      </c>
      <c r="E395" s="6"/>
      <c r="F395" s="3" t="s">
        <v>512</v>
      </c>
      <c r="G395" s="5"/>
    </row>
    <row r="396" customFormat="false" ht="15" hidden="false" customHeight="false" outlineLevel="0" collapsed="false">
      <c r="A396" s="3" t="s">
        <v>355</v>
      </c>
      <c r="B396" s="3" t="s">
        <v>925</v>
      </c>
      <c r="C396" s="3" t="s">
        <v>518</v>
      </c>
      <c r="D396" s="3" t="s">
        <v>514</v>
      </c>
      <c r="E396" s="6" t="n">
        <v>170</v>
      </c>
      <c r="F396" s="3" t="s">
        <v>512</v>
      </c>
      <c r="G396" s="5" t="n">
        <v>46170</v>
      </c>
    </row>
    <row r="397" customFormat="false" ht="15" hidden="false" customHeight="false" outlineLevel="0" collapsed="false">
      <c r="A397" s="3" t="s">
        <v>356</v>
      </c>
      <c r="B397" s="3" t="s">
        <v>926</v>
      </c>
      <c r="C397" s="3" t="s">
        <v>522</v>
      </c>
      <c r="D397" s="3" t="s">
        <v>511</v>
      </c>
      <c r="E397" s="6"/>
      <c r="F397" s="3" t="s">
        <v>512</v>
      </c>
      <c r="G397" s="5"/>
    </row>
    <row r="398" customFormat="false" ht="15" hidden="false" customHeight="false" outlineLevel="0" collapsed="false">
      <c r="A398" s="3" t="s">
        <v>356</v>
      </c>
      <c r="B398" s="3" t="s">
        <v>927</v>
      </c>
      <c r="C398" s="3" t="s">
        <v>538</v>
      </c>
      <c r="D398" s="3" t="s">
        <v>520</v>
      </c>
      <c r="E398" s="6"/>
      <c r="F398" s="3" t="s">
        <v>512</v>
      </c>
      <c r="G398" s="5"/>
    </row>
    <row r="399" customFormat="false" ht="15" hidden="false" customHeight="false" outlineLevel="0" collapsed="false">
      <c r="A399" s="3" t="s">
        <v>359</v>
      </c>
      <c r="B399" s="3" t="s">
        <v>928</v>
      </c>
      <c r="C399" s="3" t="s">
        <v>516</v>
      </c>
      <c r="D399" s="3" t="s">
        <v>514</v>
      </c>
      <c r="E399" s="6" t="n">
        <v>370</v>
      </c>
      <c r="F399" s="3" t="s">
        <v>532</v>
      </c>
      <c r="G399" s="5" t="n">
        <v>46213</v>
      </c>
    </row>
    <row r="400" customFormat="false" ht="15" hidden="false" customHeight="false" outlineLevel="0" collapsed="false">
      <c r="A400" s="3" t="s">
        <v>359</v>
      </c>
      <c r="B400" s="3" t="s">
        <v>929</v>
      </c>
      <c r="C400" s="3" t="s">
        <v>526</v>
      </c>
      <c r="D400" s="3" t="s">
        <v>514</v>
      </c>
      <c r="E400" s="6" t="n">
        <v>340</v>
      </c>
      <c r="F400" s="3" t="s">
        <v>532</v>
      </c>
      <c r="G400" s="5" t="n">
        <v>46271</v>
      </c>
    </row>
    <row r="401" customFormat="false" ht="15" hidden="false" customHeight="false" outlineLevel="0" collapsed="false">
      <c r="A401" s="3" t="s">
        <v>359</v>
      </c>
      <c r="B401" s="3" t="s">
        <v>930</v>
      </c>
      <c r="C401" s="3" t="s">
        <v>518</v>
      </c>
      <c r="D401" s="3" t="s">
        <v>514</v>
      </c>
      <c r="E401" s="6" t="n">
        <v>500</v>
      </c>
      <c r="F401" s="3" t="s">
        <v>532</v>
      </c>
      <c r="G401" s="5" t="n">
        <v>46251</v>
      </c>
    </row>
    <row r="402" customFormat="false" ht="15" hidden="false" customHeight="false" outlineLevel="0" collapsed="false">
      <c r="A402" s="3" t="s">
        <v>359</v>
      </c>
      <c r="B402" s="3" t="s">
        <v>931</v>
      </c>
      <c r="C402" s="3" t="s">
        <v>575</v>
      </c>
      <c r="D402" s="3" t="s">
        <v>511</v>
      </c>
      <c r="E402" s="6"/>
      <c r="F402" s="3" t="s">
        <v>532</v>
      </c>
      <c r="G402" s="5"/>
    </row>
    <row r="403" customFormat="false" ht="15" hidden="false" customHeight="false" outlineLevel="0" collapsed="false">
      <c r="A403" s="3" t="s">
        <v>359</v>
      </c>
      <c r="B403" s="3" t="s">
        <v>932</v>
      </c>
      <c r="C403" s="3" t="s">
        <v>538</v>
      </c>
      <c r="D403" s="3" t="s">
        <v>514</v>
      </c>
      <c r="E403" s="6" t="n">
        <v>350</v>
      </c>
      <c r="F403" s="3" t="s">
        <v>532</v>
      </c>
      <c r="G403" s="5" t="n">
        <v>46225</v>
      </c>
    </row>
    <row r="404" customFormat="false" ht="15" hidden="false" customHeight="false" outlineLevel="0" collapsed="false">
      <c r="A404" s="3" t="s">
        <v>361</v>
      </c>
      <c r="B404" s="3" t="s">
        <v>933</v>
      </c>
      <c r="C404" s="3" t="s">
        <v>510</v>
      </c>
      <c r="D404" s="3" t="s">
        <v>514</v>
      </c>
      <c r="E404" s="6" t="n">
        <v>135</v>
      </c>
      <c r="F404" s="3" t="s">
        <v>512</v>
      </c>
      <c r="G404" s="5" t="n">
        <v>46243</v>
      </c>
    </row>
    <row r="405" customFormat="false" ht="15" hidden="false" customHeight="false" outlineLevel="0" collapsed="false">
      <c r="A405" s="3" t="s">
        <v>361</v>
      </c>
      <c r="B405" s="3" t="s">
        <v>934</v>
      </c>
      <c r="C405" s="3" t="s">
        <v>552</v>
      </c>
      <c r="D405" s="3" t="s">
        <v>514</v>
      </c>
      <c r="E405" s="6" t="n">
        <v>95</v>
      </c>
      <c r="F405" s="3" t="s">
        <v>512</v>
      </c>
      <c r="G405" s="5" t="n">
        <v>46208</v>
      </c>
    </row>
    <row r="406" customFormat="false" ht="15" hidden="false" customHeight="false" outlineLevel="0" collapsed="false">
      <c r="A406" s="3" t="s">
        <v>361</v>
      </c>
      <c r="B406" s="3" t="s">
        <v>935</v>
      </c>
      <c r="C406" s="3" t="s">
        <v>518</v>
      </c>
      <c r="D406" s="3" t="s">
        <v>520</v>
      </c>
      <c r="E406" s="6"/>
      <c r="F406" s="3" t="s">
        <v>512</v>
      </c>
      <c r="G406" s="5"/>
    </row>
    <row r="407" customFormat="false" ht="15" hidden="false" customHeight="false" outlineLevel="0" collapsed="false">
      <c r="A407" s="3" t="s">
        <v>361</v>
      </c>
      <c r="B407" s="3" t="s">
        <v>936</v>
      </c>
      <c r="C407" s="3" t="s">
        <v>516</v>
      </c>
      <c r="D407" s="3" t="s">
        <v>514</v>
      </c>
      <c r="E407" s="6" t="n">
        <v>195</v>
      </c>
      <c r="F407" s="3" t="s">
        <v>512</v>
      </c>
      <c r="G407" s="5" t="n">
        <v>46205</v>
      </c>
    </row>
    <row r="408" customFormat="false" ht="15" hidden="false" customHeight="false" outlineLevel="0" collapsed="false">
      <c r="A408" s="3" t="s">
        <v>361</v>
      </c>
      <c r="B408" s="3" t="s">
        <v>937</v>
      </c>
      <c r="C408" s="3" t="s">
        <v>524</v>
      </c>
      <c r="D408" s="3" t="s">
        <v>511</v>
      </c>
      <c r="E408" s="6"/>
      <c r="F408" s="3" t="s">
        <v>512</v>
      </c>
      <c r="G408" s="5"/>
    </row>
    <row r="409" customFormat="false" ht="15" hidden="false" customHeight="false" outlineLevel="0" collapsed="false">
      <c r="A409" s="3" t="s">
        <v>364</v>
      </c>
      <c r="B409" s="3" t="s">
        <v>938</v>
      </c>
      <c r="C409" s="3" t="s">
        <v>564</v>
      </c>
      <c r="D409" s="3" t="s">
        <v>514</v>
      </c>
      <c r="E409" s="6" t="n">
        <v>70</v>
      </c>
      <c r="F409" s="3" t="s">
        <v>532</v>
      </c>
      <c r="G409" s="5" t="n">
        <v>46207</v>
      </c>
    </row>
    <row r="410" customFormat="false" ht="15" hidden="false" customHeight="false" outlineLevel="0" collapsed="false">
      <c r="A410" s="3" t="s">
        <v>364</v>
      </c>
      <c r="B410" s="3" t="s">
        <v>939</v>
      </c>
      <c r="C410" s="3" t="s">
        <v>516</v>
      </c>
      <c r="D410" s="3" t="s">
        <v>511</v>
      </c>
      <c r="E410" s="6"/>
      <c r="F410" s="3" t="s">
        <v>532</v>
      </c>
      <c r="G410" s="5"/>
    </row>
    <row r="411" customFormat="false" ht="15" hidden="false" customHeight="false" outlineLevel="0" collapsed="false">
      <c r="A411" s="3" t="s">
        <v>364</v>
      </c>
      <c r="B411" s="3" t="s">
        <v>940</v>
      </c>
      <c r="C411" s="3" t="s">
        <v>552</v>
      </c>
      <c r="D411" s="3" t="s">
        <v>514</v>
      </c>
      <c r="E411" s="6" t="n">
        <v>240</v>
      </c>
      <c r="F411" s="3" t="s">
        <v>532</v>
      </c>
      <c r="G411" s="5" t="n">
        <v>46205</v>
      </c>
    </row>
    <row r="412" customFormat="false" ht="15" hidden="false" customHeight="false" outlineLevel="0" collapsed="false">
      <c r="A412" s="3" t="s">
        <v>365</v>
      </c>
      <c r="B412" s="3" t="s">
        <v>941</v>
      </c>
      <c r="C412" s="3" t="s">
        <v>564</v>
      </c>
      <c r="D412" s="3" t="s">
        <v>514</v>
      </c>
      <c r="E412" s="6" t="n">
        <v>195</v>
      </c>
      <c r="F412" s="3" t="s">
        <v>512</v>
      </c>
      <c r="G412" s="5" t="n">
        <v>46257</v>
      </c>
    </row>
    <row r="413" customFormat="false" ht="15" hidden="false" customHeight="false" outlineLevel="0" collapsed="false">
      <c r="A413" s="3" t="s">
        <v>365</v>
      </c>
      <c r="B413" s="3" t="s">
        <v>942</v>
      </c>
      <c r="C413" s="3" t="s">
        <v>516</v>
      </c>
      <c r="D413" s="3" t="s">
        <v>514</v>
      </c>
      <c r="E413" s="6" t="n">
        <v>25</v>
      </c>
      <c r="F413" s="3" t="s">
        <v>512</v>
      </c>
      <c r="G413" s="5" t="n">
        <v>46259</v>
      </c>
    </row>
    <row r="414" customFormat="false" ht="15" hidden="false" customHeight="false" outlineLevel="0" collapsed="false">
      <c r="A414" s="3" t="s">
        <v>365</v>
      </c>
      <c r="B414" s="3" t="s">
        <v>943</v>
      </c>
      <c r="C414" s="3" t="s">
        <v>548</v>
      </c>
      <c r="D414" s="3" t="s">
        <v>514</v>
      </c>
      <c r="E414" s="6" t="n">
        <v>50</v>
      </c>
      <c r="F414" s="3" t="s">
        <v>512</v>
      </c>
      <c r="G414" s="5" t="n">
        <v>46205</v>
      </c>
    </row>
    <row r="415" customFormat="false" ht="15" hidden="false" customHeight="false" outlineLevel="0" collapsed="false">
      <c r="A415" s="3" t="s">
        <v>365</v>
      </c>
      <c r="B415" s="3" t="s">
        <v>944</v>
      </c>
      <c r="C415" s="3" t="s">
        <v>529</v>
      </c>
      <c r="D415" s="3" t="s">
        <v>520</v>
      </c>
      <c r="E415" s="6"/>
      <c r="F415" s="3" t="s">
        <v>512</v>
      </c>
      <c r="G415" s="5"/>
    </row>
    <row r="416" customFormat="false" ht="15" hidden="false" customHeight="false" outlineLevel="0" collapsed="false">
      <c r="A416" s="3" t="s">
        <v>365</v>
      </c>
      <c r="B416" s="3" t="s">
        <v>945</v>
      </c>
      <c r="C416" s="3" t="s">
        <v>543</v>
      </c>
      <c r="D416" s="3" t="s">
        <v>514</v>
      </c>
      <c r="E416" s="6" t="n">
        <v>30</v>
      </c>
      <c r="F416" s="3" t="s">
        <v>512</v>
      </c>
      <c r="G416" s="5" t="n">
        <v>46210</v>
      </c>
    </row>
    <row r="417" customFormat="false" ht="15" hidden="false" customHeight="false" outlineLevel="0" collapsed="false">
      <c r="A417" s="3" t="s">
        <v>365</v>
      </c>
      <c r="B417" s="3" t="s">
        <v>946</v>
      </c>
      <c r="C417" s="3" t="s">
        <v>524</v>
      </c>
      <c r="D417" s="3" t="s">
        <v>514</v>
      </c>
      <c r="E417" s="6" t="n">
        <v>20</v>
      </c>
      <c r="F417" s="3" t="s">
        <v>512</v>
      </c>
      <c r="G417" s="5" t="n">
        <v>46227</v>
      </c>
    </row>
    <row r="418" customFormat="false" ht="15" hidden="false" customHeight="false" outlineLevel="0" collapsed="false">
      <c r="A418" s="3" t="s">
        <v>365</v>
      </c>
      <c r="B418" s="3" t="s">
        <v>947</v>
      </c>
      <c r="C418" s="3" t="s">
        <v>575</v>
      </c>
      <c r="D418" s="3" t="s">
        <v>514</v>
      </c>
      <c r="E418" s="6" t="n">
        <v>150</v>
      </c>
      <c r="F418" s="3" t="s">
        <v>512</v>
      </c>
      <c r="G418" s="5" t="n">
        <v>46217</v>
      </c>
    </row>
    <row r="419" customFormat="false" ht="15" hidden="false" customHeight="false" outlineLevel="0" collapsed="false">
      <c r="A419" s="3" t="s">
        <v>365</v>
      </c>
      <c r="B419" s="3" t="s">
        <v>948</v>
      </c>
      <c r="C419" s="3" t="s">
        <v>531</v>
      </c>
      <c r="D419" s="3" t="s">
        <v>514</v>
      </c>
      <c r="E419" s="6" t="n">
        <v>155</v>
      </c>
      <c r="F419" s="3" t="s">
        <v>512</v>
      </c>
      <c r="G419" s="5" t="n">
        <v>46200</v>
      </c>
    </row>
    <row r="420" customFormat="false" ht="15" hidden="false" customHeight="false" outlineLevel="0" collapsed="false">
      <c r="A420" s="3" t="s">
        <v>367</v>
      </c>
      <c r="B420" s="3" t="s">
        <v>949</v>
      </c>
      <c r="C420" s="3" t="s">
        <v>516</v>
      </c>
      <c r="D420" s="3" t="s">
        <v>514</v>
      </c>
      <c r="E420" s="6" t="n">
        <v>270</v>
      </c>
      <c r="F420" s="3" t="s">
        <v>532</v>
      </c>
      <c r="G420" s="5" t="n">
        <v>46222</v>
      </c>
    </row>
    <row r="421" customFormat="false" ht="15" hidden="false" customHeight="false" outlineLevel="0" collapsed="false">
      <c r="A421" s="3" t="s">
        <v>367</v>
      </c>
      <c r="B421" s="3" t="s">
        <v>950</v>
      </c>
      <c r="C421" s="3" t="s">
        <v>548</v>
      </c>
      <c r="D421" s="3" t="s">
        <v>511</v>
      </c>
      <c r="E421" s="6"/>
      <c r="F421" s="3" t="s">
        <v>532</v>
      </c>
      <c r="G421" s="5"/>
    </row>
    <row r="422" customFormat="false" ht="15" hidden="false" customHeight="false" outlineLevel="0" collapsed="false">
      <c r="A422" s="3" t="s">
        <v>367</v>
      </c>
      <c r="B422" s="3" t="s">
        <v>951</v>
      </c>
      <c r="C422" s="3" t="s">
        <v>526</v>
      </c>
      <c r="D422" s="3" t="s">
        <v>511</v>
      </c>
      <c r="E422" s="6"/>
      <c r="F422" s="3" t="s">
        <v>532</v>
      </c>
      <c r="G422" s="5"/>
    </row>
    <row r="423" customFormat="false" ht="15" hidden="false" customHeight="false" outlineLevel="0" collapsed="false">
      <c r="A423" s="3" t="s">
        <v>367</v>
      </c>
      <c r="B423" s="3" t="s">
        <v>952</v>
      </c>
      <c r="C423" s="3" t="s">
        <v>540</v>
      </c>
      <c r="D423" s="3" t="s">
        <v>520</v>
      </c>
      <c r="E423" s="6"/>
      <c r="F423" s="3" t="s">
        <v>532</v>
      </c>
      <c r="G423" s="5"/>
    </row>
    <row r="424" customFormat="false" ht="15" hidden="false" customHeight="false" outlineLevel="0" collapsed="false">
      <c r="A424" s="3" t="s">
        <v>367</v>
      </c>
      <c r="B424" s="3" t="s">
        <v>953</v>
      </c>
      <c r="C424" s="3" t="s">
        <v>522</v>
      </c>
      <c r="D424" s="3" t="s">
        <v>511</v>
      </c>
      <c r="E424" s="6"/>
      <c r="F424" s="3" t="s">
        <v>532</v>
      </c>
      <c r="G424" s="5"/>
    </row>
    <row r="425" customFormat="false" ht="15" hidden="false" customHeight="false" outlineLevel="0" collapsed="false">
      <c r="A425" s="3" t="s">
        <v>367</v>
      </c>
      <c r="B425" s="3" t="s">
        <v>954</v>
      </c>
      <c r="C425" s="3" t="s">
        <v>575</v>
      </c>
      <c r="D425" s="3" t="s">
        <v>514</v>
      </c>
      <c r="E425" s="6" t="n">
        <v>370</v>
      </c>
      <c r="F425" s="3" t="s">
        <v>532</v>
      </c>
      <c r="G425" s="5" t="n">
        <v>46212</v>
      </c>
    </row>
    <row r="426" customFormat="false" ht="15" hidden="false" customHeight="false" outlineLevel="0" collapsed="false">
      <c r="A426" s="3" t="s">
        <v>368</v>
      </c>
      <c r="B426" s="3" t="s">
        <v>955</v>
      </c>
      <c r="C426" s="3" t="s">
        <v>543</v>
      </c>
      <c r="D426" s="3" t="s">
        <v>514</v>
      </c>
      <c r="E426" s="6" t="n">
        <v>130</v>
      </c>
      <c r="F426" s="3" t="s">
        <v>512</v>
      </c>
      <c r="G426" s="5" t="n">
        <v>46213</v>
      </c>
    </row>
    <row r="427" customFormat="false" ht="15" hidden="false" customHeight="false" outlineLevel="0" collapsed="false">
      <c r="A427" s="3" t="s">
        <v>370</v>
      </c>
      <c r="B427" s="3" t="s">
        <v>956</v>
      </c>
      <c r="C427" s="3" t="s">
        <v>510</v>
      </c>
      <c r="D427" s="3" t="s">
        <v>514</v>
      </c>
      <c r="E427" s="6" t="n">
        <v>200</v>
      </c>
      <c r="F427" s="3" t="s">
        <v>532</v>
      </c>
      <c r="G427" s="5" t="n">
        <v>46221</v>
      </c>
    </row>
    <row r="428" customFormat="false" ht="15" hidden="false" customHeight="false" outlineLevel="0" collapsed="false">
      <c r="A428" s="3" t="s">
        <v>370</v>
      </c>
      <c r="B428" s="3" t="s">
        <v>957</v>
      </c>
      <c r="C428" s="3" t="s">
        <v>518</v>
      </c>
      <c r="D428" s="3" t="s">
        <v>520</v>
      </c>
      <c r="E428" s="6"/>
      <c r="F428" s="3" t="s">
        <v>532</v>
      </c>
      <c r="G428" s="5"/>
    </row>
    <row r="429" customFormat="false" ht="15" hidden="false" customHeight="false" outlineLevel="0" collapsed="false">
      <c r="A429" s="3" t="s">
        <v>370</v>
      </c>
      <c r="B429" s="3" t="s">
        <v>958</v>
      </c>
      <c r="C429" s="3" t="s">
        <v>531</v>
      </c>
      <c r="D429" s="3" t="s">
        <v>520</v>
      </c>
      <c r="E429" s="6"/>
      <c r="F429" s="3" t="s">
        <v>532</v>
      </c>
      <c r="G429" s="5"/>
    </row>
    <row r="430" customFormat="false" ht="15" hidden="false" customHeight="false" outlineLevel="0" collapsed="false">
      <c r="A430" s="3" t="s">
        <v>370</v>
      </c>
      <c r="B430" s="3" t="s">
        <v>959</v>
      </c>
      <c r="C430" s="3" t="s">
        <v>535</v>
      </c>
      <c r="D430" s="3" t="s">
        <v>520</v>
      </c>
      <c r="E430" s="6"/>
      <c r="F430" s="3" t="s">
        <v>532</v>
      </c>
      <c r="G430" s="5"/>
    </row>
    <row r="431" customFormat="false" ht="15" hidden="false" customHeight="false" outlineLevel="0" collapsed="false">
      <c r="A431" s="3" t="s">
        <v>370</v>
      </c>
      <c r="B431" s="3" t="s">
        <v>960</v>
      </c>
      <c r="C431" s="3" t="s">
        <v>516</v>
      </c>
      <c r="D431" s="3" t="s">
        <v>514</v>
      </c>
      <c r="E431" s="6" t="n">
        <v>520</v>
      </c>
      <c r="F431" s="3" t="s">
        <v>532</v>
      </c>
      <c r="G431" s="5" t="n">
        <v>46193</v>
      </c>
    </row>
    <row r="432" customFormat="false" ht="15" hidden="false" customHeight="false" outlineLevel="0" collapsed="false">
      <c r="A432" s="3" t="s">
        <v>370</v>
      </c>
      <c r="B432" s="3" t="s">
        <v>961</v>
      </c>
      <c r="C432" s="3" t="s">
        <v>524</v>
      </c>
      <c r="D432" s="3" t="s">
        <v>520</v>
      </c>
      <c r="E432" s="6"/>
      <c r="F432" s="3" t="s">
        <v>532</v>
      </c>
      <c r="G432" s="5"/>
    </row>
    <row r="433" customFormat="false" ht="15" hidden="false" customHeight="false" outlineLevel="0" collapsed="false">
      <c r="A433" s="3" t="s">
        <v>371</v>
      </c>
      <c r="B433" s="3" t="s">
        <v>962</v>
      </c>
      <c r="C433" s="3" t="s">
        <v>543</v>
      </c>
      <c r="D433" s="3" t="s">
        <v>514</v>
      </c>
      <c r="E433" s="6" t="n">
        <v>150</v>
      </c>
      <c r="F433" s="3" t="s">
        <v>512</v>
      </c>
      <c r="G433" s="5" t="n">
        <v>46235</v>
      </c>
    </row>
    <row r="434" customFormat="false" ht="15" hidden="false" customHeight="false" outlineLevel="0" collapsed="false">
      <c r="A434" s="3" t="s">
        <v>371</v>
      </c>
      <c r="B434" s="3" t="s">
        <v>963</v>
      </c>
      <c r="C434" s="3" t="s">
        <v>540</v>
      </c>
      <c r="D434" s="3" t="s">
        <v>514</v>
      </c>
      <c r="E434" s="6" t="n">
        <v>140</v>
      </c>
      <c r="F434" s="3" t="s">
        <v>512</v>
      </c>
      <c r="G434" s="5" t="n">
        <v>46235</v>
      </c>
    </row>
    <row r="435" customFormat="false" ht="15" hidden="false" customHeight="false" outlineLevel="0" collapsed="false">
      <c r="A435" s="3" t="s">
        <v>371</v>
      </c>
      <c r="B435" s="3" t="s">
        <v>964</v>
      </c>
      <c r="C435" s="3" t="s">
        <v>548</v>
      </c>
      <c r="D435" s="3" t="s">
        <v>514</v>
      </c>
      <c r="E435" s="6" t="n">
        <v>160</v>
      </c>
      <c r="F435" s="3" t="s">
        <v>512</v>
      </c>
      <c r="G435" s="5" t="n">
        <v>46263</v>
      </c>
    </row>
    <row r="436" customFormat="false" ht="15" hidden="false" customHeight="false" outlineLevel="0" collapsed="false">
      <c r="A436" s="3" t="s">
        <v>371</v>
      </c>
      <c r="B436" s="3" t="s">
        <v>965</v>
      </c>
      <c r="C436" s="3" t="s">
        <v>538</v>
      </c>
      <c r="D436" s="3" t="s">
        <v>514</v>
      </c>
      <c r="E436" s="6" t="n">
        <v>130</v>
      </c>
      <c r="F436" s="3" t="s">
        <v>512</v>
      </c>
      <c r="G436" s="5" t="n">
        <v>46270</v>
      </c>
    </row>
    <row r="437" customFormat="false" ht="15" hidden="false" customHeight="false" outlineLevel="0" collapsed="false">
      <c r="A437" s="3" t="s">
        <v>371</v>
      </c>
      <c r="B437" s="3" t="s">
        <v>966</v>
      </c>
      <c r="C437" s="3" t="s">
        <v>522</v>
      </c>
      <c r="D437" s="3" t="s">
        <v>511</v>
      </c>
      <c r="E437" s="6"/>
      <c r="F437" s="3" t="s">
        <v>512</v>
      </c>
      <c r="G437" s="5"/>
    </row>
    <row r="438" customFormat="false" ht="15" hidden="false" customHeight="false" outlineLevel="0" collapsed="false">
      <c r="A438" s="3" t="s">
        <v>373</v>
      </c>
      <c r="B438" s="3" t="s">
        <v>967</v>
      </c>
      <c r="C438" s="3" t="s">
        <v>564</v>
      </c>
      <c r="D438" s="3" t="s">
        <v>514</v>
      </c>
      <c r="E438" s="6" t="n">
        <v>420</v>
      </c>
      <c r="F438" s="3" t="s">
        <v>532</v>
      </c>
      <c r="G438" s="5" t="n">
        <v>46285</v>
      </c>
    </row>
    <row r="439" customFormat="false" ht="15" hidden="false" customHeight="false" outlineLevel="0" collapsed="false">
      <c r="A439" s="3" t="s">
        <v>373</v>
      </c>
      <c r="B439" s="3" t="s">
        <v>968</v>
      </c>
      <c r="C439" s="3" t="s">
        <v>524</v>
      </c>
      <c r="D439" s="3" t="s">
        <v>520</v>
      </c>
      <c r="E439" s="6"/>
      <c r="F439" s="3" t="s">
        <v>532</v>
      </c>
      <c r="G439" s="5"/>
    </row>
    <row r="440" customFormat="false" ht="15" hidden="false" customHeight="false" outlineLevel="0" collapsed="false">
      <c r="A440" s="3" t="s">
        <v>373</v>
      </c>
      <c r="B440" s="3" t="s">
        <v>969</v>
      </c>
      <c r="C440" s="3" t="s">
        <v>538</v>
      </c>
      <c r="D440" s="3" t="s">
        <v>514</v>
      </c>
      <c r="E440" s="6" t="n">
        <v>480</v>
      </c>
      <c r="F440" s="3" t="s">
        <v>532</v>
      </c>
      <c r="G440" s="5" t="n">
        <v>46251</v>
      </c>
    </row>
    <row r="441" customFormat="false" ht="15" hidden="false" customHeight="false" outlineLevel="0" collapsed="false">
      <c r="A441" s="3" t="s">
        <v>374</v>
      </c>
      <c r="B441" s="3" t="s">
        <v>970</v>
      </c>
      <c r="C441" s="3" t="s">
        <v>518</v>
      </c>
      <c r="D441" s="3" t="s">
        <v>514</v>
      </c>
      <c r="E441" s="6" t="n">
        <v>145</v>
      </c>
      <c r="F441" s="3" t="s">
        <v>512</v>
      </c>
      <c r="G441" s="5" t="n">
        <v>46242</v>
      </c>
    </row>
    <row r="442" customFormat="false" ht="15" hidden="false" customHeight="false" outlineLevel="0" collapsed="false">
      <c r="A442" s="3" t="s">
        <v>374</v>
      </c>
      <c r="B442" s="3" t="s">
        <v>971</v>
      </c>
      <c r="C442" s="3" t="s">
        <v>538</v>
      </c>
      <c r="D442" s="3" t="s">
        <v>514</v>
      </c>
      <c r="E442" s="6" t="n">
        <v>165</v>
      </c>
      <c r="F442" s="3" t="s">
        <v>512</v>
      </c>
      <c r="G442" s="5" t="n">
        <v>46211</v>
      </c>
    </row>
    <row r="443" customFormat="false" ht="15" hidden="false" customHeight="false" outlineLevel="0" collapsed="false">
      <c r="A443" s="3" t="s">
        <v>374</v>
      </c>
      <c r="B443" s="3" t="s">
        <v>972</v>
      </c>
      <c r="C443" s="3" t="s">
        <v>564</v>
      </c>
      <c r="D443" s="3" t="s">
        <v>514</v>
      </c>
      <c r="E443" s="6" t="n">
        <v>95</v>
      </c>
      <c r="F443" s="3" t="s">
        <v>512</v>
      </c>
      <c r="G443" s="5" t="n">
        <v>46242</v>
      </c>
    </row>
    <row r="444" customFormat="false" ht="15" hidden="false" customHeight="false" outlineLevel="0" collapsed="false">
      <c r="A444" s="3" t="s">
        <v>374</v>
      </c>
      <c r="B444" s="3" t="s">
        <v>973</v>
      </c>
      <c r="C444" s="3" t="s">
        <v>575</v>
      </c>
      <c r="D444" s="3" t="s">
        <v>514</v>
      </c>
      <c r="E444" s="6" t="n">
        <v>85</v>
      </c>
      <c r="F444" s="3" t="s">
        <v>512</v>
      </c>
      <c r="G444" s="5" t="n">
        <v>46243</v>
      </c>
    </row>
    <row r="445" customFormat="false" ht="15" hidden="false" customHeight="false" outlineLevel="0" collapsed="false">
      <c r="A445" s="3" t="s">
        <v>376</v>
      </c>
      <c r="B445" s="3" t="s">
        <v>974</v>
      </c>
      <c r="C445" s="3" t="s">
        <v>564</v>
      </c>
      <c r="D445" s="3" t="s">
        <v>514</v>
      </c>
      <c r="E445" s="6" t="n">
        <v>130</v>
      </c>
      <c r="F445" s="3" t="s">
        <v>512</v>
      </c>
      <c r="G445" s="5" t="n">
        <v>46242</v>
      </c>
    </row>
    <row r="446" customFormat="false" ht="15" hidden="false" customHeight="false" outlineLevel="0" collapsed="false">
      <c r="A446" s="3" t="s">
        <v>376</v>
      </c>
      <c r="B446" s="3" t="s">
        <v>975</v>
      </c>
      <c r="C446" s="3" t="s">
        <v>524</v>
      </c>
      <c r="D446" s="3" t="s">
        <v>514</v>
      </c>
      <c r="E446" s="6" t="n">
        <v>80</v>
      </c>
      <c r="F446" s="3" t="s">
        <v>512</v>
      </c>
      <c r="G446" s="5" t="n">
        <v>46222</v>
      </c>
    </row>
    <row r="447" customFormat="false" ht="15" hidden="false" customHeight="false" outlineLevel="0" collapsed="false">
      <c r="A447" s="3" t="s">
        <v>376</v>
      </c>
      <c r="B447" s="3" t="s">
        <v>976</v>
      </c>
      <c r="C447" s="3" t="s">
        <v>540</v>
      </c>
      <c r="D447" s="3" t="s">
        <v>511</v>
      </c>
      <c r="E447" s="6"/>
      <c r="F447" s="3" t="s">
        <v>512</v>
      </c>
      <c r="G447" s="5"/>
    </row>
    <row r="448" customFormat="false" ht="15" hidden="false" customHeight="false" outlineLevel="0" collapsed="false">
      <c r="A448" s="3" t="s">
        <v>377</v>
      </c>
      <c r="B448" s="3" t="s">
        <v>977</v>
      </c>
      <c r="C448" s="3" t="s">
        <v>575</v>
      </c>
      <c r="D448" s="3" t="s">
        <v>514</v>
      </c>
      <c r="E448" s="6" t="n">
        <v>140</v>
      </c>
      <c r="F448" s="3" t="s">
        <v>512</v>
      </c>
      <c r="G448" s="5" t="n">
        <v>46257</v>
      </c>
    </row>
    <row r="449" customFormat="false" ht="15" hidden="false" customHeight="false" outlineLevel="0" collapsed="false">
      <c r="A449" s="3" t="s">
        <v>377</v>
      </c>
      <c r="B449" s="3" t="s">
        <v>978</v>
      </c>
      <c r="C449" s="3" t="s">
        <v>538</v>
      </c>
      <c r="D449" s="3" t="s">
        <v>520</v>
      </c>
      <c r="E449" s="6"/>
      <c r="F449" s="3" t="s">
        <v>512</v>
      </c>
      <c r="G449" s="5"/>
    </row>
    <row r="450" customFormat="false" ht="15" hidden="false" customHeight="false" outlineLevel="0" collapsed="false">
      <c r="A450" s="3" t="s">
        <v>377</v>
      </c>
      <c r="B450" s="3" t="s">
        <v>979</v>
      </c>
      <c r="C450" s="3" t="s">
        <v>524</v>
      </c>
      <c r="D450" s="3" t="s">
        <v>511</v>
      </c>
      <c r="E450" s="6"/>
      <c r="F450" s="3" t="s">
        <v>512</v>
      </c>
      <c r="G450" s="5"/>
    </row>
    <row r="451" customFormat="false" ht="15" hidden="false" customHeight="false" outlineLevel="0" collapsed="false">
      <c r="A451" s="3" t="s">
        <v>378</v>
      </c>
      <c r="B451" s="3" t="s">
        <v>980</v>
      </c>
      <c r="C451" s="3" t="s">
        <v>522</v>
      </c>
      <c r="D451" s="3" t="s">
        <v>514</v>
      </c>
      <c r="E451" s="6" t="n">
        <v>95</v>
      </c>
      <c r="F451" s="3" t="s">
        <v>512</v>
      </c>
      <c r="G451" s="5" t="n">
        <v>46250</v>
      </c>
    </row>
    <row r="452" customFormat="false" ht="15" hidden="false" customHeight="false" outlineLevel="0" collapsed="false">
      <c r="A452" s="3" t="s">
        <v>378</v>
      </c>
      <c r="B452" s="3" t="s">
        <v>981</v>
      </c>
      <c r="C452" s="3" t="s">
        <v>575</v>
      </c>
      <c r="D452" s="3" t="s">
        <v>511</v>
      </c>
      <c r="E452" s="6"/>
      <c r="F452" s="3" t="s">
        <v>512</v>
      </c>
      <c r="G452" s="5"/>
    </row>
    <row r="453" customFormat="false" ht="15" hidden="false" customHeight="false" outlineLevel="0" collapsed="false">
      <c r="A453" s="3" t="s">
        <v>380</v>
      </c>
      <c r="B453" s="3" t="s">
        <v>982</v>
      </c>
      <c r="C453" s="3" t="s">
        <v>543</v>
      </c>
      <c r="D453" s="3" t="s">
        <v>520</v>
      </c>
      <c r="E453" s="6"/>
      <c r="F453" s="3" t="s">
        <v>532</v>
      </c>
      <c r="G453" s="5"/>
    </row>
    <row r="454" customFormat="false" ht="15" hidden="false" customHeight="false" outlineLevel="0" collapsed="false">
      <c r="A454" s="3" t="s">
        <v>380</v>
      </c>
      <c r="B454" s="3" t="s">
        <v>983</v>
      </c>
      <c r="C454" s="3" t="s">
        <v>531</v>
      </c>
      <c r="D454" s="3" t="s">
        <v>520</v>
      </c>
      <c r="E454" s="6"/>
      <c r="F454" s="3" t="s">
        <v>532</v>
      </c>
      <c r="G454" s="5"/>
    </row>
    <row r="455" customFormat="false" ht="15" hidden="false" customHeight="false" outlineLevel="0" collapsed="false">
      <c r="A455" s="3" t="s">
        <v>380</v>
      </c>
      <c r="B455" s="3" t="s">
        <v>984</v>
      </c>
      <c r="C455" s="3" t="s">
        <v>516</v>
      </c>
      <c r="D455" s="3" t="s">
        <v>514</v>
      </c>
      <c r="E455" s="6" t="n">
        <v>180</v>
      </c>
      <c r="F455" s="3" t="s">
        <v>532</v>
      </c>
      <c r="G455" s="5" t="n">
        <v>46248</v>
      </c>
    </row>
    <row r="456" customFormat="false" ht="15" hidden="false" customHeight="false" outlineLevel="0" collapsed="false">
      <c r="A456" s="3" t="s">
        <v>380</v>
      </c>
      <c r="B456" s="3" t="s">
        <v>985</v>
      </c>
      <c r="C456" s="3" t="s">
        <v>510</v>
      </c>
      <c r="D456" s="3" t="s">
        <v>514</v>
      </c>
      <c r="E456" s="6" t="n">
        <v>550</v>
      </c>
      <c r="F456" s="3" t="s">
        <v>532</v>
      </c>
      <c r="G456" s="5" t="n">
        <v>46272</v>
      </c>
    </row>
    <row r="457" customFormat="false" ht="15" hidden="false" customHeight="false" outlineLevel="0" collapsed="false">
      <c r="A457" s="3" t="s">
        <v>380</v>
      </c>
      <c r="B457" s="3" t="s">
        <v>986</v>
      </c>
      <c r="C457" s="3" t="s">
        <v>524</v>
      </c>
      <c r="D457" s="3" t="s">
        <v>511</v>
      </c>
      <c r="E457" s="6"/>
      <c r="F457" s="3" t="s">
        <v>532</v>
      </c>
      <c r="G457" s="5"/>
    </row>
    <row r="458" customFormat="false" ht="15" hidden="false" customHeight="false" outlineLevel="0" collapsed="false">
      <c r="A458" s="3" t="s">
        <v>380</v>
      </c>
      <c r="B458" s="3" t="s">
        <v>987</v>
      </c>
      <c r="C458" s="3" t="s">
        <v>538</v>
      </c>
      <c r="D458" s="3" t="s">
        <v>520</v>
      </c>
      <c r="E458" s="6"/>
      <c r="F458" s="3" t="s">
        <v>532</v>
      </c>
      <c r="G458" s="5"/>
    </row>
    <row r="459" customFormat="false" ht="15" hidden="false" customHeight="false" outlineLevel="0" collapsed="false">
      <c r="A459" s="3" t="s">
        <v>380</v>
      </c>
      <c r="B459" s="3" t="s">
        <v>988</v>
      </c>
      <c r="C459" s="3" t="s">
        <v>548</v>
      </c>
      <c r="D459" s="3" t="s">
        <v>514</v>
      </c>
      <c r="E459" s="6" t="n">
        <v>290</v>
      </c>
      <c r="F459" s="3" t="s">
        <v>532</v>
      </c>
      <c r="G459" s="5" t="n">
        <v>46248</v>
      </c>
    </row>
    <row r="460" customFormat="false" ht="15" hidden="false" customHeight="false" outlineLevel="0" collapsed="false">
      <c r="A460" s="3" t="s">
        <v>380</v>
      </c>
      <c r="B460" s="3" t="s">
        <v>989</v>
      </c>
      <c r="C460" s="3" t="s">
        <v>518</v>
      </c>
      <c r="D460" s="3" t="s">
        <v>514</v>
      </c>
      <c r="E460" s="6" t="n">
        <v>300</v>
      </c>
      <c r="F460" s="3" t="s">
        <v>532</v>
      </c>
      <c r="G460" s="5" t="n">
        <v>46293</v>
      </c>
    </row>
    <row r="461" customFormat="false" ht="15" hidden="false" customHeight="false" outlineLevel="0" collapsed="false">
      <c r="A461" s="3" t="s">
        <v>381</v>
      </c>
      <c r="B461" s="3" t="s">
        <v>990</v>
      </c>
      <c r="C461" s="3" t="s">
        <v>510</v>
      </c>
      <c r="D461" s="3" t="s">
        <v>514</v>
      </c>
      <c r="E461" s="6" t="n">
        <v>110</v>
      </c>
      <c r="F461" s="3" t="s">
        <v>512</v>
      </c>
      <c r="G461" s="5" t="n">
        <v>46242</v>
      </c>
    </row>
    <row r="462" customFormat="false" ht="15" hidden="false" customHeight="false" outlineLevel="0" collapsed="false">
      <c r="A462" s="3" t="s">
        <v>381</v>
      </c>
      <c r="B462" s="3" t="s">
        <v>991</v>
      </c>
      <c r="C462" s="3" t="s">
        <v>535</v>
      </c>
      <c r="D462" s="3" t="s">
        <v>514</v>
      </c>
      <c r="E462" s="6" t="n">
        <v>135</v>
      </c>
      <c r="F462" s="3" t="s">
        <v>512</v>
      </c>
      <c r="G462" s="5" t="n">
        <v>46254</v>
      </c>
    </row>
    <row r="463" customFormat="false" ht="15" hidden="false" customHeight="false" outlineLevel="0" collapsed="false">
      <c r="A463" s="3" t="s">
        <v>381</v>
      </c>
      <c r="B463" s="3" t="s">
        <v>992</v>
      </c>
      <c r="C463" s="3" t="s">
        <v>543</v>
      </c>
      <c r="D463" s="3" t="s">
        <v>511</v>
      </c>
      <c r="E463" s="6"/>
      <c r="F463" s="3" t="s">
        <v>512</v>
      </c>
      <c r="G463" s="5"/>
    </row>
    <row r="464" customFormat="false" ht="15" hidden="false" customHeight="false" outlineLevel="0" collapsed="false">
      <c r="A464" s="3" t="s">
        <v>381</v>
      </c>
      <c r="B464" s="3" t="s">
        <v>993</v>
      </c>
      <c r="C464" s="3" t="s">
        <v>552</v>
      </c>
      <c r="D464" s="3" t="s">
        <v>514</v>
      </c>
      <c r="E464" s="6" t="n">
        <v>175</v>
      </c>
      <c r="F464" s="3" t="s">
        <v>512</v>
      </c>
      <c r="G464" s="5" t="n">
        <v>46212</v>
      </c>
    </row>
    <row r="465" customFormat="false" ht="15" hidden="false" customHeight="false" outlineLevel="0" collapsed="false">
      <c r="A465" s="3" t="s">
        <v>381</v>
      </c>
      <c r="B465" s="3" t="s">
        <v>994</v>
      </c>
      <c r="C465" s="3" t="s">
        <v>548</v>
      </c>
      <c r="D465" s="3" t="s">
        <v>514</v>
      </c>
      <c r="E465" s="6" t="n">
        <v>105</v>
      </c>
      <c r="F465" s="3" t="s">
        <v>512</v>
      </c>
      <c r="G465" s="5" t="n">
        <v>46200</v>
      </c>
    </row>
    <row r="466" customFormat="false" ht="15" hidden="false" customHeight="false" outlineLevel="0" collapsed="false">
      <c r="A466" s="3" t="s">
        <v>383</v>
      </c>
      <c r="B466" s="3" t="s">
        <v>995</v>
      </c>
      <c r="C466" s="3" t="s">
        <v>524</v>
      </c>
      <c r="D466" s="3" t="s">
        <v>514</v>
      </c>
      <c r="E466" s="6" t="n">
        <v>110</v>
      </c>
      <c r="F466" s="3" t="s">
        <v>512</v>
      </c>
      <c r="G466" s="5" t="n">
        <v>46218</v>
      </c>
    </row>
    <row r="467" customFormat="false" ht="15" hidden="false" customHeight="false" outlineLevel="0" collapsed="false">
      <c r="A467" s="3" t="s">
        <v>383</v>
      </c>
      <c r="B467" s="3" t="s">
        <v>996</v>
      </c>
      <c r="C467" s="3" t="s">
        <v>564</v>
      </c>
      <c r="D467" s="3" t="s">
        <v>514</v>
      </c>
      <c r="E467" s="6" t="n">
        <v>75</v>
      </c>
      <c r="F467" s="3" t="s">
        <v>512</v>
      </c>
      <c r="G467" s="5" t="n">
        <v>46247</v>
      </c>
    </row>
    <row r="468" customFormat="false" ht="15" hidden="false" customHeight="false" outlineLevel="0" collapsed="false">
      <c r="A468" s="3" t="s">
        <v>385</v>
      </c>
      <c r="B468" s="3" t="s">
        <v>997</v>
      </c>
      <c r="C468" s="3" t="s">
        <v>516</v>
      </c>
      <c r="D468" s="3" t="s">
        <v>520</v>
      </c>
      <c r="E468" s="6"/>
      <c r="F468" s="3" t="s">
        <v>512</v>
      </c>
      <c r="G468" s="5"/>
    </row>
    <row r="469" customFormat="false" ht="15" hidden="false" customHeight="false" outlineLevel="0" collapsed="false">
      <c r="A469" s="3" t="s">
        <v>385</v>
      </c>
      <c r="B469" s="3" t="s">
        <v>998</v>
      </c>
      <c r="C469" s="3" t="s">
        <v>529</v>
      </c>
      <c r="D469" s="3" t="s">
        <v>514</v>
      </c>
      <c r="E469" s="6" t="n">
        <v>185</v>
      </c>
      <c r="F469" s="3" t="s">
        <v>512</v>
      </c>
      <c r="G469" s="5" t="n">
        <v>46257</v>
      </c>
    </row>
    <row r="470" customFormat="false" ht="15" hidden="false" customHeight="false" outlineLevel="0" collapsed="false">
      <c r="A470" s="3" t="s">
        <v>385</v>
      </c>
      <c r="B470" s="3" t="s">
        <v>999</v>
      </c>
      <c r="C470" s="3" t="s">
        <v>575</v>
      </c>
      <c r="D470" s="3" t="s">
        <v>511</v>
      </c>
      <c r="E470" s="6"/>
      <c r="F470" s="3" t="s">
        <v>512</v>
      </c>
      <c r="G470" s="5"/>
    </row>
    <row r="471" customFormat="false" ht="15" hidden="false" customHeight="false" outlineLevel="0" collapsed="false">
      <c r="A471" s="3" t="s">
        <v>387</v>
      </c>
      <c r="B471" s="3" t="s">
        <v>1000</v>
      </c>
      <c r="C471" s="3" t="s">
        <v>522</v>
      </c>
      <c r="D471" s="3" t="s">
        <v>514</v>
      </c>
      <c r="E471" s="6" t="n">
        <v>20</v>
      </c>
      <c r="F471" s="3" t="s">
        <v>512</v>
      </c>
      <c r="G471" s="5" t="n">
        <v>46241</v>
      </c>
    </row>
    <row r="472" customFormat="false" ht="15" hidden="false" customHeight="false" outlineLevel="0" collapsed="false">
      <c r="A472" s="3" t="s">
        <v>387</v>
      </c>
      <c r="B472" s="3" t="s">
        <v>1001</v>
      </c>
      <c r="C472" s="3" t="s">
        <v>543</v>
      </c>
      <c r="D472" s="3" t="s">
        <v>514</v>
      </c>
      <c r="E472" s="6" t="n">
        <v>190</v>
      </c>
      <c r="F472" s="3" t="s">
        <v>512</v>
      </c>
      <c r="G472" s="5" t="n">
        <v>46204</v>
      </c>
    </row>
    <row r="473" customFormat="false" ht="15" hidden="false" customHeight="false" outlineLevel="0" collapsed="false">
      <c r="A473" s="3" t="s">
        <v>387</v>
      </c>
      <c r="B473" s="3" t="s">
        <v>1002</v>
      </c>
      <c r="C473" s="3" t="s">
        <v>575</v>
      </c>
      <c r="D473" s="3" t="s">
        <v>514</v>
      </c>
      <c r="E473" s="6" t="n">
        <v>155</v>
      </c>
      <c r="F473" s="3" t="s">
        <v>512</v>
      </c>
      <c r="G473" s="5" t="n">
        <v>46227</v>
      </c>
    </row>
    <row r="474" customFormat="false" ht="15" hidden="false" customHeight="false" outlineLevel="0" collapsed="false">
      <c r="A474" s="3" t="s">
        <v>387</v>
      </c>
      <c r="B474" s="3" t="s">
        <v>1003</v>
      </c>
      <c r="C474" s="3" t="s">
        <v>516</v>
      </c>
      <c r="D474" s="3" t="s">
        <v>514</v>
      </c>
      <c r="E474" s="6" t="n">
        <v>10</v>
      </c>
      <c r="F474" s="3" t="s">
        <v>512</v>
      </c>
      <c r="G474" s="5" t="n">
        <v>46201</v>
      </c>
    </row>
    <row r="475" customFormat="false" ht="15" hidden="false" customHeight="false" outlineLevel="0" collapsed="false">
      <c r="A475" s="3" t="s">
        <v>389</v>
      </c>
      <c r="B475" s="3" t="s">
        <v>1004</v>
      </c>
      <c r="C475" s="3" t="s">
        <v>522</v>
      </c>
      <c r="D475" s="3" t="s">
        <v>514</v>
      </c>
      <c r="E475" s="6" t="n">
        <v>65</v>
      </c>
      <c r="F475" s="3" t="s">
        <v>512</v>
      </c>
      <c r="G475" s="5" t="n">
        <v>46263</v>
      </c>
    </row>
    <row r="476" customFormat="false" ht="15" hidden="false" customHeight="false" outlineLevel="0" collapsed="false">
      <c r="A476" s="3" t="s">
        <v>389</v>
      </c>
      <c r="B476" s="3" t="s">
        <v>1005</v>
      </c>
      <c r="C476" s="3" t="s">
        <v>552</v>
      </c>
      <c r="D476" s="3" t="s">
        <v>511</v>
      </c>
      <c r="E476" s="6"/>
      <c r="F476" s="3" t="s">
        <v>512</v>
      </c>
      <c r="G476" s="5"/>
    </row>
    <row r="477" customFormat="false" ht="15" hidden="false" customHeight="false" outlineLevel="0" collapsed="false">
      <c r="A477" s="3" t="s">
        <v>391</v>
      </c>
      <c r="B477" s="3" t="s">
        <v>1006</v>
      </c>
      <c r="C477" s="3" t="s">
        <v>535</v>
      </c>
      <c r="D477" s="3" t="s">
        <v>511</v>
      </c>
      <c r="E477" s="6"/>
      <c r="F477" s="3" t="s">
        <v>532</v>
      </c>
      <c r="G477" s="5"/>
    </row>
    <row r="478" customFormat="false" ht="15" hidden="false" customHeight="false" outlineLevel="0" collapsed="false">
      <c r="A478" s="3" t="s">
        <v>391</v>
      </c>
      <c r="B478" s="3" t="s">
        <v>1007</v>
      </c>
      <c r="C478" s="3" t="s">
        <v>522</v>
      </c>
      <c r="D478" s="3" t="s">
        <v>514</v>
      </c>
      <c r="E478" s="6" t="n">
        <v>380</v>
      </c>
      <c r="F478" s="3" t="s">
        <v>532</v>
      </c>
      <c r="G478" s="5" t="n">
        <v>46236</v>
      </c>
    </row>
    <row r="479" customFormat="false" ht="15" hidden="false" customHeight="false" outlineLevel="0" collapsed="false">
      <c r="A479" s="3" t="s">
        <v>391</v>
      </c>
      <c r="B479" s="3" t="s">
        <v>1008</v>
      </c>
      <c r="C479" s="3" t="s">
        <v>529</v>
      </c>
      <c r="D479" s="3" t="s">
        <v>514</v>
      </c>
      <c r="E479" s="6" t="n">
        <v>100</v>
      </c>
      <c r="F479" s="3" t="s">
        <v>532</v>
      </c>
      <c r="G479" s="5" t="n">
        <v>46186</v>
      </c>
    </row>
    <row r="480" customFormat="false" ht="15" hidden="false" customHeight="false" outlineLevel="0" collapsed="false">
      <c r="A480" s="3" t="s">
        <v>391</v>
      </c>
      <c r="B480" s="3" t="s">
        <v>1009</v>
      </c>
      <c r="C480" s="3" t="s">
        <v>575</v>
      </c>
      <c r="D480" s="3" t="s">
        <v>511</v>
      </c>
      <c r="E480" s="6"/>
      <c r="F480" s="3" t="s">
        <v>532</v>
      </c>
      <c r="G480" s="5"/>
    </row>
    <row r="481" customFormat="false" ht="15" hidden="false" customHeight="false" outlineLevel="0" collapsed="false">
      <c r="A481" s="3" t="s">
        <v>391</v>
      </c>
      <c r="B481" s="3" t="s">
        <v>1010</v>
      </c>
      <c r="C481" s="3" t="s">
        <v>516</v>
      </c>
      <c r="D481" s="3" t="s">
        <v>514</v>
      </c>
      <c r="E481" s="6" t="n">
        <v>520</v>
      </c>
      <c r="F481" s="3" t="s">
        <v>532</v>
      </c>
      <c r="G481" s="5" t="n">
        <v>46238</v>
      </c>
    </row>
    <row r="482" customFormat="false" ht="15" hidden="false" customHeight="false" outlineLevel="0" collapsed="false">
      <c r="A482" s="3" t="s">
        <v>391</v>
      </c>
      <c r="B482" s="3" t="s">
        <v>1011</v>
      </c>
      <c r="C482" s="3" t="s">
        <v>531</v>
      </c>
      <c r="D482" s="3" t="s">
        <v>514</v>
      </c>
      <c r="E482" s="6" t="n">
        <v>320</v>
      </c>
      <c r="F482" s="3" t="s">
        <v>532</v>
      </c>
      <c r="G482" s="5" t="n">
        <v>46236</v>
      </c>
    </row>
    <row r="483" customFormat="false" ht="15" hidden="false" customHeight="false" outlineLevel="0" collapsed="false">
      <c r="A483" s="3" t="s">
        <v>392</v>
      </c>
      <c r="B483" s="3" t="s">
        <v>1012</v>
      </c>
      <c r="C483" s="3" t="s">
        <v>548</v>
      </c>
      <c r="D483" s="3" t="s">
        <v>511</v>
      </c>
      <c r="E483" s="6"/>
      <c r="F483" s="3" t="s">
        <v>512</v>
      </c>
      <c r="G483" s="5"/>
    </row>
    <row r="484" customFormat="false" ht="15" hidden="false" customHeight="false" outlineLevel="0" collapsed="false">
      <c r="A484" s="3" t="s">
        <v>392</v>
      </c>
      <c r="B484" s="3" t="s">
        <v>1013</v>
      </c>
      <c r="C484" s="3" t="s">
        <v>552</v>
      </c>
      <c r="D484" s="3" t="s">
        <v>514</v>
      </c>
      <c r="E484" s="6" t="n">
        <v>155</v>
      </c>
      <c r="F484" s="3" t="s">
        <v>512</v>
      </c>
      <c r="G484" s="5" t="n">
        <v>46238</v>
      </c>
    </row>
    <row r="485" customFormat="false" ht="15" hidden="false" customHeight="false" outlineLevel="0" collapsed="false">
      <c r="A485" s="3" t="s">
        <v>394</v>
      </c>
      <c r="B485" s="3" t="s">
        <v>1014</v>
      </c>
      <c r="C485" s="3" t="s">
        <v>526</v>
      </c>
      <c r="D485" s="3" t="s">
        <v>514</v>
      </c>
      <c r="E485" s="6" t="n">
        <v>115</v>
      </c>
      <c r="F485" s="3" t="s">
        <v>512</v>
      </c>
      <c r="G485" s="5" t="n">
        <v>46243</v>
      </c>
    </row>
    <row r="486" customFormat="false" ht="15" hidden="false" customHeight="false" outlineLevel="0" collapsed="false">
      <c r="A486" s="3" t="s">
        <v>394</v>
      </c>
      <c r="B486" s="3" t="s">
        <v>1015</v>
      </c>
      <c r="C486" s="3" t="s">
        <v>535</v>
      </c>
      <c r="D486" s="3" t="s">
        <v>520</v>
      </c>
      <c r="E486" s="6"/>
      <c r="F486" s="3" t="s">
        <v>512</v>
      </c>
      <c r="G486" s="5"/>
    </row>
    <row r="487" customFormat="false" ht="15" hidden="false" customHeight="false" outlineLevel="0" collapsed="false">
      <c r="A487" s="3" t="s">
        <v>394</v>
      </c>
      <c r="B487" s="3" t="s">
        <v>1016</v>
      </c>
      <c r="C487" s="3" t="s">
        <v>510</v>
      </c>
      <c r="D487" s="3" t="s">
        <v>514</v>
      </c>
      <c r="E487" s="6" t="n">
        <v>115</v>
      </c>
      <c r="F487" s="3" t="s">
        <v>512</v>
      </c>
      <c r="G487" s="5" t="n">
        <v>46278</v>
      </c>
    </row>
    <row r="488" customFormat="false" ht="15" hidden="false" customHeight="false" outlineLevel="0" collapsed="false">
      <c r="A488" s="3" t="s">
        <v>394</v>
      </c>
      <c r="B488" s="3" t="s">
        <v>1017</v>
      </c>
      <c r="C488" s="3" t="s">
        <v>531</v>
      </c>
      <c r="D488" s="3" t="s">
        <v>514</v>
      </c>
      <c r="E488" s="6" t="n">
        <v>75</v>
      </c>
      <c r="F488" s="3" t="s">
        <v>512</v>
      </c>
      <c r="G488" s="5" t="n">
        <v>46255</v>
      </c>
    </row>
    <row r="489" customFormat="false" ht="15" hidden="false" customHeight="false" outlineLevel="0" collapsed="false">
      <c r="A489" s="3" t="s">
        <v>394</v>
      </c>
      <c r="B489" s="3" t="s">
        <v>1018</v>
      </c>
      <c r="C489" s="3" t="s">
        <v>540</v>
      </c>
      <c r="D489" s="3" t="s">
        <v>514</v>
      </c>
      <c r="E489" s="6" t="n">
        <v>50</v>
      </c>
      <c r="F489" s="3" t="s">
        <v>512</v>
      </c>
      <c r="G489" s="5" t="n">
        <v>46252</v>
      </c>
    </row>
    <row r="490" customFormat="false" ht="15" hidden="false" customHeight="false" outlineLevel="0" collapsed="false">
      <c r="A490" s="3" t="s">
        <v>394</v>
      </c>
      <c r="B490" s="3" t="s">
        <v>1019</v>
      </c>
      <c r="C490" s="3" t="s">
        <v>538</v>
      </c>
      <c r="D490" s="3" t="s">
        <v>514</v>
      </c>
      <c r="E490" s="6" t="n">
        <v>70</v>
      </c>
      <c r="F490" s="3" t="s">
        <v>512</v>
      </c>
      <c r="G490" s="5" t="n">
        <v>46295</v>
      </c>
    </row>
    <row r="491" customFormat="false" ht="15" hidden="false" customHeight="false" outlineLevel="0" collapsed="false">
      <c r="A491" s="3" t="s">
        <v>394</v>
      </c>
      <c r="B491" s="3" t="s">
        <v>1020</v>
      </c>
      <c r="C491" s="3" t="s">
        <v>518</v>
      </c>
      <c r="D491" s="3" t="s">
        <v>511</v>
      </c>
      <c r="E491" s="6"/>
      <c r="F491" s="3" t="s">
        <v>512</v>
      </c>
      <c r="G491" s="5"/>
    </row>
    <row r="492" customFormat="false" ht="15" hidden="false" customHeight="false" outlineLevel="0" collapsed="false">
      <c r="A492" s="3" t="s">
        <v>394</v>
      </c>
      <c r="B492" s="3" t="s">
        <v>1021</v>
      </c>
      <c r="C492" s="3" t="s">
        <v>543</v>
      </c>
      <c r="D492" s="3" t="s">
        <v>511</v>
      </c>
      <c r="E492" s="6"/>
      <c r="F492" s="3" t="s">
        <v>512</v>
      </c>
      <c r="G492" s="5"/>
    </row>
    <row r="493" customFormat="false" ht="15" hidden="false" customHeight="false" outlineLevel="0" collapsed="false">
      <c r="A493" s="3" t="s">
        <v>396</v>
      </c>
      <c r="B493" s="3" t="s">
        <v>1022</v>
      </c>
      <c r="C493" s="3" t="s">
        <v>575</v>
      </c>
      <c r="D493" s="3" t="s">
        <v>514</v>
      </c>
      <c r="E493" s="6" t="n">
        <v>165</v>
      </c>
      <c r="F493" s="3" t="s">
        <v>512</v>
      </c>
      <c r="G493" s="5" t="n">
        <v>46243</v>
      </c>
    </row>
    <row r="494" customFormat="false" ht="15" hidden="false" customHeight="false" outlineLevel="0" collapsed="false">
      <c r="A494" s="3" t="s">
        <v>396</v>
      </c>
      <c r="B494" s="3" t="s">
        <v>1023</v>
      </c>
      <c r="C494" s="3" t="s">
        <v>524</v>
      </c>
      <c r="D494" s="3" t="s">
        <v>520</v>
      </c>
      <c r="E494" s="6"/>
      <c r="F494" s="3" t="s">
        <v>512</v>
      </c>
      <c r="G494" s="5"/>
    </row>
    <row r="495" customFormat="false" ht="15" hidden="false" customHeight="false" outlineLevel="0" collapsed="false">
      <c r="A495" s="3" t="s">
        <v>396</v>
      </c>
      <c r="B495" s="3" t="s">
        <v>1024</v>
      </c>
      <c r="C495" s="3" t="s">
        <v>518</v>
      </c>
      <c r="D495" s="3" t="s">
        <v>514</v>
      </c>
      <c r="E495" s="6" t="n">
        <v>90</v>
      </c>
      <c r="F495" s="3" t="s">
        <v>512</v>
      </c>
      <c r="G495" s="5" t="n">
        <v>46279</v>
      </c>
    </row>
    <row r="496" customFormat="false" ht="15" hidden="false" customHeight="false" outlineLevel="0" collapsed="false">
      <c r="A496" s="3" t="s">
        <v>396</v>
      </c>
      <c r="B496" s="3" t="s">
        <v>1025</v>
      </c>
      <c r="C496" s="3" t="s">
        <v>552</v>
      </c>
      <c r="D496" s="3" t="s">
        <v>511</v>
      </c>
      <c r="E496" s="6"/>
      <c r="F496" s="3" t="s">
        <v>512</v>
      </c>
      <c r="G496" s="5"/>
    </row>
    <row r="497" customFormat="false" ht="15" hidden="false" customHeight="false" outlineLevel="0" collapsed="false">
      <c r="A497" s="3" t="s">
        <v>396</v>
      </c>
      <c r="B497" s="3" t="s">
        <v>1026</v>
      </c>
      <c r="C497" s="3" t="s">
        <v>529</v>
      </c>
      <c r="D497" s="3" t="s">
        <v>511</v>
      </c>
      <c r="E497" s="6"/>
      <c r="F497" s="3" t="s">
        <v>512</v>
      </c>
      <c r="G497" s="5"/>
    </row>
    <row r="498" customFormat="false" ht="15" hidden="false" customHeight="false" outlineLevel="0" collapsed="false">
      <c r="A498" s="3" t="s">
        <v>396</v>
      </c>
      <c r="B498" s="3" t="s">
        <v>1027</v>
      </c>
      <c r="C498" s="3" t="s">
        <v>543</v>
      </c>
      <c r="D498" s="3" t="s">
        <v>514</v>
      </c>
      <c r="E498" s="6" t="n">
        <v>95</v>
      </c>
      <c r="F498" s="3" t="s">
        <v>512</v>
      </c>
      <c r="G498" s="5" t="n">
        <v>46262</v>
      </c>
    </row>
    <row r="499" customFormat="false" ht="15" hidden="false" customHeight="false" outlineLevel="0" collapsed="false">
      <c r="A499" s="3" t="s">
        <v>398</v>
      </c>
      <c r="B499" s="3" t="s">
        <v>1028</v>
      </c>
      <c r="C499" s="3" t="s">
        <v>526</v>
      </c>
      <c r="D499" s="3" t="s">
        <v>514</v>
      </c>
      <c r="E499" s="6" t="n">
        <v>110</v>
      </c>
      <c r="F499" s="3" t="s">
        <v>512</v>
      </c>
      <c r="G499" s="5" t="n">
        <v>46223</v>
      </c>
    </row>
    <row r="500" customFormat="false" ht="15" hidden="false" customHeight="false" outlineLevel="0" collapsed="false">
      <c r="A500" s="3" t="s">
        <v>398</v>
      </c>
      <c r="B500" s="3" t="s">
        <v>1029</v>
      </c>
      <c r="C500" s="3" t="s">
        <v>535</v>
      </c>
      <c r="D500" s="3" t="s">
        <v>520</v>
      </c>
      <c r="E500" s="6"/>
      <c r="F500" s="3" t="s">
        <v>512</v>
      </c>
      <c r="G500" s="5"/>
    </row>
    <row r="501" customFormat="false" ht="15" hidden="false" customHeight="false" outlineLevel="0" collapsed="false">
      <c r="A501" s="3" t="s">
        <v>398</v>
      </c>
      <c r="B501" s="3" t="s">
        <v>1030</v>
      </c>
      <c r="C501" s="3" t="s">
        <v>540</v>
      </c>
      <c r="D501" s="3" t="s">
        <v>514</v>
      </c>
      <c r="E501" s="6" t="n">
        <v>175</v>
      </c>
      <c r="F501" s="3" t="s">
        <v>512</v>
      </c>
      <c r="G501" s="5" t="n">
        <v>46233</v>
      </c>
    </row>
    <row r="502" customFormat="false" ht="15" hidden="false" customHeight="false" outlineLevel="0" collapsed="false">
      <c r="A502" s="3" t="s">
        <v>398</v>
      </c>
      <c r="B502" s="3" t="s">
        <v>1031</v>
      </c>
      <c r="C502" s="3" t="s">
        <v>516</v>
      </c>
      <c r="D502" s="3" t="s">
        <v>511</v>
      </c>
      <c r="E502" s="6"/>
      <c r="F502" s="3" t="s">
        <v>512</v>
      </c>
      <c r="G502" s="5"/>
    </row>
    <row r="503" customFormat="false" ht="15" hidden="false" customHeight="false" outlineLevel="0" collapsed="false">
      <c r="A503" s="3" t="s">
        <v>398</v>
      </c>
      <c r="B503" s="3" t="s">
        <v>1032</v>
      </c>
      <c r="C503" s="3" t="s">
        <v>548</v>
      </c>
      <c r="D503" s="3" t="s">
        <v>514</v>
      </c>
      <c r="E503" s="6" t="n">
        <v>170</v>
      </c>
      <c r="F503" s="3" t="s">
        <v>512</v>
      </c>
      <c r="G503" s="5" t="n">
        <v>46218</v>
      </c>
    </row>
    <row r="504" customFormat="false" ht="15" hidden="false" customHeight="false" outlineLevel="0" collapsed="false">
      <c r="A504" s="3" t="s">
        <v>400</v>
      </c>
      <c r="B504" s="3" t="s">
        <v>1033</v>
      </c>
      <c r="C504" s="3" t="s">
        <v>529</v>
      </c>
      <c r="D504" s="3" t="s">
        <v>514</v>
      </c>
      <c r="E504" s="6" t="n">
        <v>120</v>
      </c>
      <c r="F504" s="3" t="s">
        <v>512</v>
      </c>
      <c r="G504" s="5" t="n">
        <v>46271</v>
      </c>
    </row>
    <row r="505" customFormat="false" ht="15" hidden="false" customHeight="false" outlineLevel="0" collapsed="false">
      <c r="A505" s="3" t="s">
        <v>400</v>
      </c>
      <c r="B505" s="3" t="s">
        <v>1034</v>
      </c>
      <c r="C505" s="3" t="s">
        <v>575</v>
      </c>
      <c r="D505" s="3" t="s">
        <v>514</v>
      </c>
      <c r="E505" s="6" t="n">
        <v>135</v>
      </c>
      <c r="F505" s="3" t="s">
        <v>512</v>
      </c>
      <c r="G505" s="5" t="n">
        <v>46257</v>
      </c>
    </row>
    <row r="506" customFormat="false" ht="15" hidden="false" customHeight="false" outlineLevel="0" collapsed="false">
      <c r="A506" s="3" t="s">
        <v>400</v>
      </c>
      <c r="B506" s="3" t="s">
        <v>1035</v>
      </c>
      <c r="C506" s="3" t="s">
        <v>552</v>
      </c>
      <c r="D506" s="3" t="s">
        <v>514</v>
      </c>
      <c r="E506" s="6" t="n">
        <v>135</v>
      </c>
      <c r="F506" s="3" t="s">
        <v>512</v>
      </c>
      <c r="G506" s="5" t="n">
        <v>46229</v>
      </c>
    </row>
    <row r="507" customFormat="false" ht="15" hidden="false" customHeight="false" outlineLevel="0" collapsed="false">
      <c r="A507" s="3" t="s">
        <v>400</v>
      </c>
      <c r="B507" s="3" t="s">
        <v>1036</v>
      </c>
      <c r="C507" s="3" t="s">
        <v>538</v>
      </c>
      <c r="D507" s="3" t="s">
        <v>514</v>
      </c>
      <c r="E507" s="6" t="n">
        <v>145</v>
      </c>
      <c r="F507" s="3" t="s">
        <v>512</v>
      </c>
      <c r="G507" s="5" t="n">
        <v>46234</v>
      </c>
    </row>
    <row r="508" customFormat="false" ht="15" hidden="false" customHeight="false" outlineLevel="0" collapsed="false">
      <c r="A508" s="3" t="s">
        <v>400</v>
      </c>
      <c r="B508" s="3" t="s">
        <v>1037</v>
      </c>
      <c r="C508" s="3" t="s">
        <v>548</v>
      </c>
      <c r="D508" s="3" t="s">
        <v>514</v>
      </c>
      <c r="E508" s="6" t="n">
        <v>15</v>
      </c>
      <c r="F508" s="3" t="s">
        <v>512</v>
      </c>
      <c r="G508" s="5" t="n">
        <v>46236</v>
      </c>
    </row>
    <row r="509" customFormat="false" ht="15" hidden="false" customHeight="false" outlineLevel="0" collapsed="false">
      <c r="A509" s="3" t="s">
        <v>402</v>
      </c>
      <c r="B509" s="3" t="s">
        <v>1038</v>
      </c>
      <c r="C509" s="3" t="s">
        <v>531</v>
      </c>
      <c r="D509" s="3" t="s">
        <v>520</v>
      </c>
      <c r="E509" s="6"/>
      <c r="F509" s="3" t="s">
        <v>512</v>
      </c>
      <c r="G509" s="5"/>
    </row>
    <row r="510" customFormat="false" ht="15" hidden="false" customHeight="false" outlineLevel="0" collapsed="false">
      <c r="A510" s="3" t="s">
        <v>403</v>
      </c>
      <c r="B510" s="3" t="s">
        <v>1039</v>
      </c>
      <c r="C510" s="3" t="s">
        <v>531</v>
      </c>
      <c r="D510" s="3" t="s">
        <v>511</v>
      </c>
      <c r="E510" s="6"/>
      <c r="F510" s="3" t="s">
        <v>512</v>
      </c>
      <c r="G510" s="5"/>
    </row>
    <row r="511" customFormat="false" ht="15" hidden="false" customHeight="false" outlineLevel="0" collapsed="false">
      <c r="A511" s="3" t="s">
        <v>403</v>
      </c>
      <c r="B511" s="3" t="s">
        <v>1040</v>
      </c>
      <c r="C511" s="3" t="s">
        <v>540</v>
      </c>
      <c r="D511" s="3" t="s">
        <v>514</v>
      </c>
      <c r="E511" s="6" t="n">
        <v>170</v>
      </c>
      <c r="F511" s="3" t="s">
        <v>512</v>
      </c>
      <c r="G511" s="5" t="n">
        <v>46232</v>
      </c>
    </row>
    <row r="512" customFormat="false" ht="15" hidden="false" customHeight="false" outlineLevel="0" collapsed="false">
      <c r="A512" s="3" t="s">
        <v>403</v>
      </c>
      <c r="B512" s="3" t="s">
        <v>1041</v>
      </c>
      <c r="C512" s="3" t="s">
        <v>524</v>
      </c>
      <c r="D512" s="3" t="s">
        <v>514</v>
      </c>
      <c r="E512" s="6" t="n">
        <v>25</v>
      </c>
      <c r="F512" s="3" t="s">
        <v>512</v>
      </c>
      <c r="G512" s="5" t="n">
        <v>46197</v>
      </c>
    </row>
    <row r="513" customFormat="false" ht="15" hidden="false" customHeight="false" outlineLevel="0" collapsed="false">
      <c r="A513" s="3" t="s">
        <v>403</v>
      </c>
      <c r="B513" s="3" t="s">
        <v>1042</v>
      </c>
      <c r="C513" s="3" t="s">
        <v>529</v>
      </c>
      <c r="D513" s="3" t="s">
        <v>511</v>
      </c>
      <c r="E513" s="6"/>
      <c r="F513" s="3" t="s">
        <v>512</v>
      </c>
      <c r="G513" s="5"/>
    </row>
    <row r="514" customFormat="false" ht="15" hidden="false" customHeight="false" outlineLevel="0" collapsed="false">
      <c r="A514" s="3" t="s">
        <v>403</v>
      </c>
      <c r="B514" s="3" t="s">
        <v>1043</v>
      </c>
      <c r="C514" s="3" t="s">
        <v>552</v>
      </c>
      <c r="D514" s="3" t="s">
        <v>514</v>
      </c>
      <c r="E514" s="6" t="n">
        <v>20</v>
      </c>
      <c r="F514" s="3" t="s">
        <v>512</v>
      </c>
      <c r="G514" s="5" t="n">
        <v>46243</v>
      </c>
    </row>
    <row r="515" customFormat="false" ht="15" hidden="false" customHeight="false" outlineLevel="0" collapsed="false">
      <c r="A515" s="3" t="s">
        <v>403</v>
      </c>
      <c r="B515" s="3" t="s">
        <v>1044</v>
      </c>
      <c r="C515" s="3" t="s">
        <v>575</v>
      </c>
      <c r="D515" s="3" t="s">
        <v>514</v>
      </c>
      <c r="E515" s="6" t="n">
        <v>20</v>
      </c>
      <c r="F515" s="3" t="s">
        <v>512</v>
      </c>
      <c r="G515" s="5" t="n">
        <v>46209</v>
      </c>
    </row>
    <row r="516" customFormat="false" ht="15" hidden="false" customHeight="false" outlineLevel="0" collapsed="false">
      <c r="A516" s="3" t="s">
        <v>405</v>
      </c>
      <c r="B516" s="3" t="s">
        <v>1045</v>
      </c>
      <c r="C516" s="3" t="s">
        <v>524</v>
      </c>
      <c r="D516" s="3" t="s">
        <v>520</v>
      </c>
      <c r="E516" s="6"/>
      <c r="F516" s="3" t="s">
        <v>512</v>
      </c>
      <c r="G516" s="5"/>
    </row>
    <row r="517" customFormat="false" ht="15" hidden="false" customHeight="false" outlineLevel="0" collapsed="false">
      <c r="A517" s="3" t="s">
        <v>405</v>
      </c>
      <c r="B517" s="3" t="s">
        <v>1046</v>
      </c>
      <c r="C517" s="3" t="s">
        <v>531</v>
      </c>
      <c r="D517" s="3" t="s">
        <v>520</v>
      </c>
      <c r="E517" s="6"/>
      <c r="F517" s="3" t="s">
        <v>512</v>
      </c>
      <c r="G517" s="5"/>
    </row>
    <row r="518" customFormat="false" ht="15" hidden="false" customHeight="false" outlineLevel="0" collapsed="false">
      <c r="A518" s="3" t="s">
        <v>405</v>
      </c>
      <c r="B518" s="3" t="s">
        <v>1047</v>
      </c>
      <c r="C518" s="3" t="s">
        <v>543</v>
      </c>
      <c r="D518" s="3" t="s">
        <v>520</v>
      </c>
      <c r="E518" s="6"/>
      <c r="F518" s="3" t="s">
        <v>512</v>
      </c>
      <c r="G518" s="5"/>
    </row>
    <row r="519" customFormat="false" ht="15" hidden="false" customHeight="false" outlineLevel="0" collapsed="false">
      <c r="A519" s="3" t="s">
        <v>405</v>
      </c>
      <c r="B519" s="3" t="s">
        <v>1048</v>
      </c>
      <c r="C519" s="3" t="s">
        <v>552</v>
      </c>
      <c r="D519" s="3" t="s">
        <v>514</v>
      </c>
      <c r="E519" s="6" t="n">
        <v>175</v>
      </c>
      <c r="F519" s="3" t="s">
        <v>512</v>
      </c>
      <c r="G519" s="5" t="n">
        <v>46225</v>
      </c>
    </row>
    <row r="520" customFormat="false" ht="15" hidden="false" customHeight="false" outlineLevel="0" collapsed="false">
      <c r="A520" s="3" t="s">
        <v>405</v>
      </c>
      <c r="B520" s="3" t="s">
        <v>1049</v>
      </c>
      <c r="C520" s="3" t="s">
        <v>526</v>
      </c>
      <c r="D520" s="3" t="s">
        <v>511</v>
      </c>
      <c r="E520" s="6"/>
      <c r="F520" s="3" t="s">
        <v>512</v>
      </c>
      <c r="G520" s="5"/>
    </row>
    <row r="521" customFormat="false" ht="15" hidden="false" customHeight="false" outlineLevel="0" collapsed="false">
      <c r="A521" s="3" t="s">
        <v>405</v>
      </c>
      <c r="B521" s="3" t="s">
        <v>1050</v>
      </c>
      <c r="C521" s="3" t="s">
        <v>522</v>
      </c>
      <c r="D521" s="3" t="s">
        <v>514</v>
      </c>
      <c r="E521" s="6" t="n">
        <v>130</v>
      </c>
      <c r="F521" s="3" t="s">
        <v>512</v>
      </c>
      <c r="G521" s="5" t="n">
        <v>46240</v>
      </c>
    </row>
    <row r="522" customFormat="false" ht="15" hidden="false" customHeight="false" outlineLevel="0" collapsed="false">
      <c r="A522" s="3" t="s">
        <v>408</v>
      </c>
      <c r="B522" s="3" t="s">
        <v>1051</v>
      </c>
      <c r="C522" s="3" t="s">
        <v>522</v>
      </c>
      <c r="D522" s="3" t="s">
        <v>514</v>
      </c>
      <c r="E522" s="6" t="n">
        <v>85</v>
      </c>
      <c r="F522" s="3" t="s">
        <v>512</v>
      </c>
      <c r="G522" s="5" t="n">
        <v>46217</v>
      </c>
    </row>
    <row r="523" customFormat="false" ht="15" hidden="false" customHeight="false" outlineLevel="0" collapsed="false">
      <c r="A523" s="3" t="s">
        <v>408</v>
      </c>
      <c r="B523" s="3" t="s">
        <v>1052</v>
      </c>
      <c r="C523" s="3" t="s">
        <v>510</v>
      </c>
      <c r="D523" s="3" t="s">
        <v>511</v>
      </c>
      <c r="E523" s="6"/>
      <c r="F523" s="3" t="s">
        <v>512</v>
      </c>
      <c r="G523" s="5"/>
    </row>
    <row r="524" customFormat="false" ht="15" hidden="false" customHeight="false" outlineLevel="0" collapsed="false">
      <c r="A524" s="3" t="s">
        <v>410</v>
      </c>
      <c r="B524" s="3" t="s">
        <v>1053</v>
      </c>
      <c r="C524" s="3" t="s">
        <v>552</v>
      </c>
      <c r="D524" s="3" t="s">
        <v>514</v>
      </c>
      <c r="E524" s="6" t="n">
        <v>135</v>
      </c>
      <c r="F524" s="3" t="s">
        <v>512</v>
      </c>
      <c r="G524" s="5" t="n">
        <v>46229</v>
      </c>
    </row>
    <row r="525" customFormat="false" ht="15" hidden="false" customHeight="false" outlineLevel="0" collapsed="false">
      <c r="A525" s="3" t="s">
        <v>412</v>
      </c>
      <c r="B525" s="3" t="s">
        <v>1054</v>
      </c>
      <c r="C525" s="3" t="s">
        <v>548</v>
      </c>
      <c r="D525" s="3" t="s">
        <v>520</v>
      </c>
      <c r="E525" s="6"/>
      <c r="F525" s="3" t="s">
        <v>512</v>
      </c>
      <c r="G525" s="5"/>
    </row>
    <row r="526" customFormat="false" ht="15" hidden="false" customHeight="false" outlineLevel="0" collapsed="false">
      <c r="A526" s="3" t="s">
        <v>413</v>
      </c>
      <c r="B526" s="3" t="s">
        <v>1055</v>
      </c>
      <c r="C526" s="3" t="s">
        <v>518</v>
      </c>
      <c r="D526" s="3" t="s">
        <v>511</v>
      </c>
      <c r="E526" s="6"/>
      <c r="F526" s="3" t="s">
        <v>532</v>
      </c>
      <c r="G526" s="5"/>
    </row>
    <row r="527" customFormat="false" ht="15" hidden="false" customHeight="false" outlineLevel="0" collapsed="false">
      <c r="A527" s="3" t="s">
        <v>413</v>
      </c>
      <c r="B527" s="3" t="s">
        <v>1056</v>
      </c>
      <c r="C527" s="3" t="s">
        <v>524</v>
      </c>
      <c r="D527" s="3" t="s">
        <v>514</v>
      </c>
      <c r="E527" s="6" t="n">
        <v>340</v>
      </c>
      <c r="F527" s="3" t="s">
        <v>532</v>
      </c>
      <c r="G527" s="5" t="n">
        <v>46248</v>
      </c>
    </row>
    <row r="528" customFormat="false" ht="15" hidden="false" customHeight="false" outlineLevel="0" collapsed="false">
      <c r="A528" s="3" t="s">
        <v>413</v>
      </c>
      <c r="B528" s="3" t="s">
        <v>1057</v>
      </c>
      <c r="C528" s="3" t="s">
        <v>516</v>
      </c>
      <c r="D528" s="3" t="s">
        <v>511</v>
      </c>
      <c r="E528" s="6"/>
      <c r="F528" s="3" t="s">
        <v>532</v>
      </c>
      <c r="G528" s="5"/>
    </row>
    <row r="529" customFormat="false" ht="15" hidden="false" customHeight="false" outlineLevel="0" collapsed="false">
      <c r="A529" s="3" t="s">
        <v>413</v>
      </c>
      <c r="B529" s="3" t="s">
        <v>1058</v>
      </c>
      <c r="C529" s="3" t="s">
        <v>535</v>
      </c>
      <c r="D529" s="3" t="s">
        <v>511</v>
      </c>
      <c r="E529" s="6"/>
      <c r="F529" s="3" t="s">
        <v>532</v>
      </c>
      <c r="G529" s="5"/>
    </row>
    <row r="530" customFormat="false" ht="15" hidden="false" customHeight="false" outlineLevel="0" collapsed="false">
      <c r="A530" s="3" t="s">
        <v>414</v>
      </c>
      <c r="B530" s="3" t="s">
        <v>1059</v>
      </c>
      <c r="C530" s="3" t="s">
        <v>540</v>
      </c>
      <c r="D530" s="3" t="s">
        <v>511</v>
      </c>
      <c r="E530" s="6"/>
      <c r="F530" s="3" t="s">
        <v>597</v>
      </c>
      <c r="G530" s="5"/>
    </row>
    <row r="531" customFormat="false" ht="15" hidden="false" customHeight="false" outlineLevel="0" collapsed="false">
      <c r="A531" s="3" t="s">
        <v>414</v>
      </c>
      <c r="B531" s="3" t="s">
        <v>1060</v>
      </c>
      <c r="C531" s="3" t="s">
        <v>529</v>
      </c>
      <c r="D531" s="3" t="s">
        <v>520</v>
      </c>
      <c r="E531" s="6"/>
      <c r="F531" s="3" t="s">
        <v>597</v>
      </c>
      <c r="G531" s="5"/>
    </row>
    <row r="532" customFormat="false" ht="15" hidden="false" customHeight="false" outlineLevel="0" collapsed="false">
      <c r="A532" s="3" t="s">
        <v>414</v>
      </c>
      <c r="B532" s="3" t="s">
        <v>1061</v>
      </c>
      <c r="C532" s="3" t="s">
        <v>524</v>
      </c>
      <c r="D532" s="3" t="s">
        <v>514</v>
      </c>
      <c r="E532" s="6" t="n">
        <v>130</v>
      </c>
      <c r="F532" s="3" t="s">
        <v>597</v>
      </c>
      <c r="G532" s="5" t="n">
        <v>46222</v>
      </c>
    </row>
    <row r="533" customFormat="false" ht="15" hidden="false" customHeight="false" outlineLevel="0" collapsed="false">
      <c r="A533" s="3" t="s">
        <v>414</v>
      </c>
      <c r="B533" s="3" t="s">
        <v>1062</v>
      </c>
      <c r="C533" s="3" t="s">
        <v>552</v>
      </c>
      <c r="D533" s="3" t="s">
        <v>514</v>
      </c>
      <c r="E533" s="6" t="n">
        <v>90</v>
      </c>
      <c r="F533" s="3" t="s">
        <v>597</v>
      </c>
      <c r="G533" s="5" t="n">
        <v>46211</v>
      </c>
    </row>
    <row r="534" customFormat="false" ht="15" hidden="false" customHeight="false" outlineLevel="0" collapsed="false">
      <c r="A534" s="3" t="s">
        <v>415</v>
      </c>
      <c r="B534" s="3" t="s">
        <v>1063</v>
      </c>
      <c r="C534" s="3" t="s">
        <v>531</v>
      </c>
      <c r="D534" s="3" t="s">
        <v>520</v>
      </c>
      <c r="E534" s="6"/>
      <c r="F534" s="3" t="s">
        <v>597</v>
      </c>
      <c r="G534" s="5"/>
    </row>
    <row r="535" customFormat="false" ht="15" hidden="false" customHeight="false" outlineLevel="0" collapsed="false">
      <c r="A535" s="3" t="s">
        <v>415</v>
      </c>
      <c r="B535" s="3" t="s">
        <v>1064</v>
      </c>
      <c r="C535" s="3" t="s">
        <v>552</v>
      </c>
      <c r="D535" s="3" t="s">
        <v>514</v>
      </c>
      <c r="E535" s="6" t="n">
        <v>120</v>
      </c>
      <c r="F535" s="3" t="s">
        <v>597</v>
      </c>
      <c r="G535" s="5" t="n">
        <v>46195</v>
      </c>
    </row>
    <row r="536" customFormat="false" ht="15" hidden="false" customHeight="false" outlineLevel="0" collapsed="false">
      <c r="A536" s="3" t="s">
        <v>416</v>
      </c>
      <c r="B536" s="3" t="s">
        <v>1065</v>
      </c>
      <c r="C536" s="3" t="s">
        <v>526</v>
      </c>
      <c r="D536" s="3" t="s">
        <v>514</v>
      </c>
      <c r="E536" s="6" t="n">
        <v>120</v>
      </c>
      <c r="F536" s="3" t="s">
        <v>512</v>
      </c>
      <c r="G536" s="5" t="n">
        <v>46266</v>
      </c>
    </row>
    <row r="537" customFormat="false" ht="15" hidden="false" customHeight="false" outlineLevel="0" collapsed="false">
      <c r="A537" s="3" t="s">
        <v>416</v>
      </c>
      <c r="B537" s="3" t="s">
        <v>1066</v>
      </c>
      <c r="C537" s="3" t="s">
        <v>529</v>
      </c>
      <c r="D537" s="3" t="s">
        <v>514</v>
      </c>
      <c r="E537" s="6" t="n">
        <v>155</v>
      </c>
      <c r="F537" s="3" t="s">
        <v>512</v>
      </c>
      <c r="G537" s="5" t="n">
        <v>46261</v>
      </c>
    </row>
    <row r="538" customFormat="false" ht="15" hidden="false" customHeight="false" outlineLevel="0" collapsed="false">
      <c r="A538" s="3" t="s">
        <v>416</v>
      </c>
      <c r="B538" s="3" t="s">
        <v>1067</v>
      </c>
      <c r="C538" s="3" t="s">
        <v>552</v>
      </c>
      <c r="D538" s="3" t="s">
        <v>514</v>
      </c>
      <c r="E538" s="6" t="n">
        <v>85</v>
      </c>
      <c r="F538" s="3" t="s">
        <v>512</v>
      </c>
      <c r="G538" s="5" t="n">
        <v>46238</v>
      </c>
    </row>
    <row r="539" customFormat="false" ht="15" hidden="false" customHeight="false" outlineLevel="0" collapsed="false">
      <c r="A539" s="3" t="s">
        <v>416</v>
      </c>
      <c r="B539" s="3" t="s">
        <v>1068</v>
      </c>
      <c r="C539" s="3" t="s">
        <v>543</v>
      </c>
      <c r="D539" s="3" t="s">
        <v>514</v>
      </c>
      <c r="E539" s="6" t="n">
        <v>80</v>
      </c>
      <c r="F539" s="3" t="s">
        <v>512</v>
      </c>
      <c r="G539" s="5" t="n">
        <v>46221</v>
      </c>
    </row>
    <row r="540" customFormat="false" ht="15" hidden="false" customHeight="false" outlineLevel="0" collapsed="false">
      <c r="A540" s="3" t="s">
        <v>416</v>
      </c>
      <c r="B540" s="3" t="s">
        <v>1069</v>
      </c>
      <c r="C540" s="3" t="s">
        <v>516</v>
      </c>
      <c r="D540" s="3" t="s">
        <v>511</v>
      </c>
      <c r="E540" s="6"/>
      <c r="F540" s="3" t="s">
        <v>512</v>
      </c>
      <c r="G540" s="5"/>
    </row>
    <row r="541" customFormat="false" ht="15" hidden="false" customHeight="false" outlineLevel="0" collapsed="false">
      <c r="A541" s="3" t="s">
        <v>416</v>
      </c>
      <c r="B541" s="3" t="s">
        <v>1070</v>
      </c>
      <c r="C541" s="3" t="s">
        <v>510</v>
      </c>
      <c r="D541" s="3" t="s">
        <v>520</v>
      </c>
      <c r="E541" s="6"/>
      <c r="F541" s="3" t="s">
        <v>512</v>
      </c>
      <c r="G541" s="5"/>
    </row>
    <row r="542" customFormat="false" ht="15" hidden="false" customHeight="false" outlineLevel="0" collapsed="false">
      <c r="A542" s="3" t="s">
        <v>418</v>
      </c>
      <c r="B542" s="3" t="s">
        <v>1071</v>
      </c>
      <c r="C542" s="3" t="s">
        <v>540</v>
      </c>
      <c r="D542" s="3" t="s">
        <v>514</v>
      </c>
      <c r="E542" s="6" t="n">
        <v>30</v>
      </c>
      <c r="F542" s="3" t="s">
        <v>512</v>
      </c>
      <c r="G542" s="5" t="n">
        <v>46238</v>
      </c>
    </row>
    <row r="543" customFormat="false" ht="15" hidden="false" customHeight="false" outlineLevel="0" collapsed="false">
      <c r="A543" s="3" t="s">
        <v>418</v>
      </c>
      <c r="B543" s="3" t="s">
        <v>1072</v>
      </c>
      <c r="C543" s="3" t="s">
        <v>531</v>
      </c>
      <c r="D543" s="3" t="s">
        <v>520</v>
      </c>
      <c r="E543" s="6"/>
      <c r="F543" s="3" t="s">
        <v>512</v>
      </c>
      <c r="G543" s="5"/>
    </row>
    <row r="544" customFormat="false" ht="15" hidden="false" customHeight="false" outlineLevel="0" collapsed="false">
      <c r="A544" s="3" t="s">
        <v>418</v>
      </c>
      <c r="B544" s="3" t="s">
        <v>1073</v>
      </c>
      <c r="C544" s="3" t="s">
        <v>529</v>
      </c>
      <c r="D544" s="3" t="s">
        <v>514</v>
      </c>
      <c r="E544" s="6" t="n">
        <v>140</v>
      </c>
      <c r="F544" s="3" t="s">
        <v>512</v>
      </c>
      <c r="G544" s="5" t="n">
        <v>46238</v>
      </c>
    </row>
    <row r="545" customFormat="false" ht="15" hidden="false" customHeight="false" outlineLevel="0" collapsed="false">
      <c r="A545" s="3" t="s">
        <v>418</v>
      </c>
      <c r="B545" s="3" t="s">
        <v>1074</v>
      </c>
      <c r="C545" s="3" t="s">
        <v>524</v>
      </c>
      <c r="D545" s="3" t="s">
        <v>514</v>
      </c>
      <c r="E545" s="6" t="n">
        <v>85</v>
      </c>
      <c r="F545" s="3" t="s">
        <v>512</v>
      </c>
      <c r="G545" s="5" t="n">
        <v>46247</v>
      </c>
    </row>
    <row r="546" customFormat="false" ht="15" hidden="false" customHeight="false" outlineLevel="0" collapsed="false">
      <c r="A546" s="3" t="s">
        <v>418</v>
      </c>
      <c r="B546" s="3" t="s">
        <v>1075</v>
      </c>
      <c r="C546" s="3" t="s">
        <v>535</v>
      </c>
      <c r="D546" s="3" t="s">
        <v>511</v>
      </c>
      <c r="E546" s="6"/>
      <c r="F546" s="3" t="s">
        <v>512</v>
      </c>
      <c r="G546" s="5"/>
    </row>
    <row r="547" customFormat="false" ht="15" hidden="false" customHeight="false" outlineLevel="0" collapsed="false">
      <c r="A547" s="3" t="s">
        <v>418</v>
      </c>
      <c r="B547" s="3" t="s">
        <v>1076</v>
      </c>
      <c r="C547" s="3" t="s">
        <v>575</v>
      </c>
      <c r="D547" s="3" t="s">
        <v>514</v>
      </c>
      <c r="E547" s="6" t="n">
        <v>185</v>
      </c>
      <c r="F547" s="3" t="s">
        <v>512</v>
      </c>
      <c r="G547" s="5" t="n">
        <v>46235</v>
      </c>
    </row>
    <row r="548" customFormat="false" ht="15" hidden="false" customHeight="false" outlineLevel="0" collapsed="false">
      <c r="A548" s="3" t="s">
        <v>420</v>
      </c>
      <c r="B548" s="3" t="s">
        <v>1077</v>
      </c>
      <c r="C548" s="3" t="s">
        <v>529</v>
      </c>
      <c r="D548" s="3" t="s">
        <v>520</v>
      </c>
      <c r="E548" s="6"/>
      <c r="F548" s="3" t="s">
        <v>512</v>
      </c>
      <c r="G548" s="5"/>
    </row>
    <row r="549" customFormat="false" ht="15" hidden="false" customHeight="false" outlineLevel="0" collapsed="false">
      <c r="A549" s="3" t="s">
        <v>420</v>
      </c>
      <c r="B549" s="3" t="s">
        <v>1078</v>
      </c>
      <c r="C549" s="3" t="s">
        <v>510</v>
      </c>
      <c r="D549" s="3" t="s">
        <v>514</v>
      </c>
      <c r="E549" s="6" t="n">
        <v>200</v>
      </c>
      <c r="F549" s="3" t="s">
        <v>512</v>
      </c>
      <c r="G549" s="5" t="n">
        <v>46247</v>
      </c>
    </row>
    <row r="550" customFormat="false" ht="15" hidden="false" customHeight="false" outlineLevel="0" collapsed="false">
      <c r="A550" s="3" t="s">
        <v>420</v>
      </c>
      <c r="B550" s="3" t="s">
        <v>1079</v>
      </c>
      <c r="C550" s="3" t="s">
        <v>543</v>
      </c>
      <c r="D550" s="3" t="s">
        <v>520</v>
      </c>
      <c r="E550" s="6"/>
      <c r="F550" s="3" t="s">
        <v>512</v>
      </c>
      <c r="G550" s="5"/>
    </row>
    <row r="551" customFormat="false" ht="15" hidden="false" customHeight="false" outlineLevel="0" collapsed="false">
      <c r="A551" s="3" t="s">
        <v>420</v>
      </c>
      <c r="B551" s="3" t="s">
        <v>1080</v>
      </c>
      <c r="C551" s="3" t="s">
        <v>522</v>
      </c>
      <c r="D551" s="3" t="s">
        <v>520</v>
      </c>
      <c r="E551" s="6"/>
      <c r="F551" s="3" t="s">
        <v>512</v>
      </c>
      <c r="G551" s="5"/>
    </row>
    <row r="552" customFormat="false" ht="15" hidden="false" customHeight="false" outlineLevel="0" collapsed="false">
      <c r="A552" s="3" t="s">
        <v>420</v>
      </c>
      <c r="B552" s="3" t="s">
        <v>1081</v>
      </c>
      <c r="C552" s="3" t="s">
        <v>518</v>
      </c>
      <c r="D552" s="3" t="s">
        <v>520</v>
      </c>
      <c r="E552" s="6"/>
      <c r="F552" s="3" t="s">
        <v>512</v>
      </c>
      <c r="G552" s="5"/>
    </row>
    <row r="553" customFormat="false" ht="15" hidden="false" customHeight="false" outlineLevel="0" collapsed="false">
      <c r="A553" s="3" t="s">
        <v>420</v>
      </c>
      <c r="B553" s="3" t="s">
        <v>1082</v>
      </c>
      <c r="C553" s="3" t="s">
        <v>516</v>
      </c>
      <c r="D553" s="3" t="s">
        <v>514</v>
      </c>
      <c r="E553" s="6" t="n">
        <v>125</v>
      </c>
      <c r="F553" s="3" t="s">
        <v>512</v>
      </c>
      <c r="G553" s="5" t="n">
        <v>46251</v>
      </c>
    </row>
    <row r="554" customFormat="false" ht="15" hidden="false" customHeight="false" outlineLevel="0" collapsed="false">
      <c r="A554" s="3" t="s">
        <v>421</v>
      </c>
      <c r="B554" s="3" t="s">
        <v>1083</v>
      </c>
      <c r="C554" s="3" t="s">
        <v>510</v>
      </c>
      <c r="D554" s="3" t="s">
        <v>514</v>
      </c>
      <c r="E554" s="6" t="n">
        <v>155</v>
      </c>
      <c r="F554" s="3" t="s">
        <v>512</v>
      </c>
      <c r="G554" s="5" t="n">
        <v>46223</v>
      </c>
    </row>
    <row r="555" customFormat="false" ht="15" hidden="false" customHeight="false" outlineLevel="0" collapsed="false">
      <c r="A555" s="3" t="s">
        <v>421</v>
      </c>
      <c r="B555" s="3" t="s">
        <v>1084</v>
      </c>
      <c r="C555" s="3" t="s">
        <v>522</v>
      </c>
      <c r="D555" s="3" t="s">
        <v>514</v>
      </c>
      <c r="E555" s="6" t="n">
        <v>25</v>
      </c>
      <c r="F555" s="3" t="s">
        <v>512</v>
      </c>
      <c r="G555" s="5" t="n">
        <v>46201</v>
      </c>
    </row>
    <row r="556" customFormat="false" ht="15" hidden="false" customHeight="false" outlineLevel="0" collapsed="false">
      <c r="A556" s="3" t="s">
        <v>421</v>
      </c>
      <c r="B556" s="3" t="s">
        <v>1085</v>
      </c>
      <c r="C556" s="3" t="s">
        <v>518</v>
      </c>
      <c r="D556" s="3" t="s">
        <v>520</v>
      </c>
      <c r="E556" s="6"/>
      <c r="F556" s="3" t="s">
        <v>512</v>
      </c>
      <c r="G556" s="5"/>
    </row>
    <row r="557" customFormat="false" ht="15" hidden="false" customHeight="false" outlineLevel="0" collapsed="false">
      <c r="A557" s="3" t="s">
        <v>421</v>
      </c>
      <c r="B557" s="3" t="s">
        <v>1086</v>
      </c>
      <c r="C557" s="3" t="s">
        <v>543</v>
      </c>
      <c r="D557" s="3" t="s">
        <v>511</v>
      </c>
      <c r="E557" s="6"/>
      <c r="F557" s="3" t="s">
        <v>512</v>
      </c>
      <c r="G557" s="5"/>
    </row>
    <row r="558" customFormat="false" ht="15" hidden="false" customHeight="false" outlineLevel="0" collapsed="false">
      <c r="A558" s="3" t="s">
        <v>421</v>
      </c>
      <c r="B558" s="3" t="s">
        <v>1087</v>
      </c>
      <c r="C558" s="3" t="s">
        <v>526</v>
      </c>
      <c r="D558" s="3" t="s">
        <v>514</v>
      </c>
      <c r="E558" s="6" t="n">
        <v>130</v>
      </c>
      <c r="F558" s="3" t="s">
        <v>512</v>
      </c>
      <c r="G558" s="5" t="n">
        <v>46200</v>
      </c>
    </row>
    <row r="559" customFormat="false" ht="15" hidden="false" customHeight="false" outlineLevel="0" collapsed="false">
      <c r="A559" s="3" t="s">
        <v>421</v>
      </c>
      <c r="B559" s="3" t="s">
        <v>1088</v>
      </c>
      <c r="C559" s="3" t="s">
        <v>516</v>
      </c>
      <c r="D559" s="3" t="s">
        <v>514</v>
      </c>
      <c r="E559" s="6" t="n">
        <v>70</v>
      </c>
      <c r="F559" s="3" t="s">
        <v>512</v>
      </c>
      <c r="G559" s="5" t="n">
        <v>46200</v>
      </c>
    </row>
    <row r="560" customFormat="false" ht="15" hidden="false" customHeight="false" outlineLevel="0" collapsed="false">
      <c r="A560" s="3" t="s">
        <v>421</v>
      </c>
      <c r="B560" s="3" t="s">
        <v>1089</v>
      </c>
      <c r="C560" s="3" t="s">
        <v>575</v>
      </c>
      <c r="D560" s="3" t="s">
        <v>514</v>
      </c>
      <c r="E560" s="6" t="n">
        <v>185</v>
      </c>
      <c r="F560" s="3" t="s">
        <v>512</v>
      </c>
      <c r="G560" s="5" t="n">
        <v>46206</v>
      </c>
    </row>
    <row r="561" customFormat="false" ht="15" hidden="false" customHeight="false" outlineLevel="0" collapsed="false">
      <c r="A561" s="3" t="s">
        <v>421</v>
      </c>
      <c r="B561" s="3" t="s">
        <v>1090</v>
      </c>
      <c r="C561" s="3" t="s">
        <v>548</v>
      </c>
      <c r="D561" s="3" t="s">
        <v>514</v>
      </c>
      <c r="E561" s="6" t="n">
        <v>10</v>
      </c>
      <c r="F561" s="3" t="s">
        <v>512</v>
      </c>
      <c r="G561" s="5" t="n">
        <v>46237</v>
      </c>
    </row>
    <row r="562" customFormat="false" ht="15" hidden="false" customHeight="false" outlineLevel="0" collapsed="false">
      <c r="A562" s="3" t="s">
        <v>423</v>
      </c>
      <c r="B562" s="3" t="s">
        <v>1091</v>
      </c>
      <c r="C562" s="3" t="s">
        <v>529</v>
      </c>
      <c r="D562" s="3" t="s">
        <v>514</v>
      </c>
      <c r="E562" s="6" t="n">
        <v>70</v>
      </c>
      <c r="F562" s="3" t="s">
        <v>597</v>
      </c>
      <c r="G562" s="5" t="n">
        <v>46237</v>
      </c>
    </row>
    <row r="563" customFormat="false" ht="15" hidden="false" customHeight="false" outlineLevel="0" collapsed="false">
      <c r="A563" s="3" t="s">
        <v>423</v>
      </c>
      <c r="B563" s="3" t="s">
        <v>1092</v>
      </c>
      <c r="C563" s="3" t="s">
        <v>522</v>
      </c>
      <c r="D563" s="3" t="s">
        <v>511</v>
      </c>
      <c r="E563" s="6"/>
      <c r="F563" s="3" t="s">
        <v>597</v>
      </c>
      <c r="G563" s="5"/>
    </row>
    <row r="564" customFormat="false" ht="15" hidden="false" customHeight="false" outlineLevel="0" collapsed="false">
      <c r="A564" s="3" t="s">
        <v>423</v>
      </c>
      <c r="B564" s="3" t="s">
        <v>1093</v>
      </c>
      <c r="C564" s="3" t="s">
        <v>552</v>
      </c>
      <c r="D564" s="3" t="s">
        <v>514</v>
      </c>
      <c r="E564" s="6" t="n">
        <v>25</v>
      </c>
      <c r="F564" s="3" t="s">
        <v>597</v>
      </c>
      <c r="G564" s="5" t="n">
        <v>46225</v>
      </c>
    </row>
    <row r="565" customFormat="false" ht="15" hidden="false" customHeight="false" outlineLevel="0" collapsed="false">
      <c r="A565" s="3" t="s">
        <v>425</v>
      </c>
      <c r="B565" s="3" t="s">
        <v>1094</v>
      </c>
      <c r="C565" s="3" t="s">
        <v>522</v>
      </c>
      <c r="D565" s="3" t="s">
        <v>514</v>
      </c>
      <c r="E565" s="6" t="n">
        <v>110</v>
      </c>
      <c r="F565" s="3" t="s">
        <v>512</v>
      </c>
      <c r="G565" s="5" t="n">
        <v>46222</v>
      </c>
    </row>
    <row r="566" customFormat="false" ht="15" hidden="false" customHeight="false" outlineLevel="0" collapsed="false">
      <c r="A566" s="3" t="s">
        <v>425</v>
      </c>
      <c r="B566" s="3" t="s">
        <v>1095</v>
      </c>
      <c r="C566" s="3" t="s">
        <v>529</v>
      </c>
      <c r="D566" s="3" t="s">
        <v>514</v>
      </c>
      <c r="E566" s="6" t="n">
        <v>155</v>
      </c>
      <c r="F566" s="3" t="s">
        <v>512</v>
      </c>
      <c r="G566" s="5" t="n">
        <v>46266</v>
      </c>
    </row>
    <row r="567" customFormat="false" ht="15" hidden="false" customHeight="false" outlineLevel="0" collapsed="false">
      <c r="A567" s="3" t="s">
        <v>427</v>
      </c>
      <c r="B567" s="3" t="s">
        <v>1096</v>
      </c>
      <c r="C567" s="3" t="s">
        <v>548</v>
      </c>
      <c r="D567" s="3" t="s">
        <v>520</v>
      </c>
      <c r="E567" s="6"/>
      <c r="F567" s="3" t="s">
        <v>512</v>
      </c>
      <c r="G567" s="5"/>
    </row>
    <row r="568" customFormat="false" ht="15" hidden="false" customHeight="false" outlineLevel="0" collapsed="false">
      <c r="A568" s="3" t="s">
        <v>427</v>
      </c>
      <c r="B568" s="3" t="s">
        <v>1097</v>
      </c>
      <c r="C568" s="3" t="s">
        <v>531</v>
      </c>
      <c r="D568" s="3" t="s">
        <v>514</v>
      </c>
      <c r="E568" s="6" t="n">
        <v>60</v>
      </c>
      <c r="F568" s="3" t="s">
        <v>512</v>
      </c>
      <c r="G568" s="5" t="n">
        <v>46258</v>
      </c>
    </row>
    <row r="569" customFormat="false" ht="15" hidden="false" customHeight="false" outlineLevel="0" collapsed="false">
      <c r="A569" s="3" t="s">
        <v>427</v>
      </c>
      <c r="B569" s="3" t="s">
        <v>1098</v>
      </c>
      <c r="C569" s="3" t="s">
        <v>535</v>
      </c>
      <c r="D569" s="3" t="s">
        <v>520</v>
      </c>
      <c r="E569" s="6"/>
      <c r="F569" s="3" t="s">
        <v>512</v>
      </c>
      <c r="G569" s="5"/>
    </row>
    <row r="570" customFormat="false" ht="15" hidden="false" customHeight="false" outlineLevel="0" collapsed="false">
      <c r="A570" s="3" t="s">
        <v>427</v>
      </c>
      <c r="B570" s="3" t="s">
        <v>1099</v>
      </c>
      <c r="C570" s="3" t="s">
        <v>543</v>
      </c>
      <c r="D570" s="3" t="s">
        <v>520</v>
      </c>
      <c r="E570" s="6"/>
      <c r="F570" s="3" t="s">
        <v>512</v>
      </c>
      <c r="G570" s="5"/>
    </row>
    <row r="571" customFormat="false" ht="15" hidden="false" customHeight="false" outlineLevel="0" collapsed="false">
      <c r="A571" s="3" t="s">
        <v>429</v>
      </c>
      <c r="B571" s="3" t="s">
        <v>1100</v>
      </c>
      <c r="C571" s="3" t="s">
        <v>564</v>
      </c>
      <c r="D571" s="3" t="s">
        <v>511</v>
      </c>
      <c r="E571" s="6"/>
      <c r="F571" s="3" t="s">
        <v>532</v>
      </c>
      <c r="G571" s="5"/>
    </row>
    <row r="572" customFormat="false" ht="15" hidden="false" customHeight="false" outlineLevel="0" collapsed="false">
      <c r="A572" s="3" t="s">
        <v>429</v>
      </c>
      <c r="B572" s="3" t="s">
        <v>1101</v>
      </c>
      <c r="C572" s="3" t="s">
        <v>543</v>
      </c>
      <c r="D572" s="3" t="s">
        <v>514</v>
      </c>
      <c r="E572" s="6" t="n">
        <v>440</v>
      </c>
      <c r="F572" s="3" t="s">
        <v>532</v>
      </c>
      <c r="G572" s="5" t="n">
        <v>46227</v>
      </c>
    </row>
    <row r="573" customFormat="false" ht="15" hidden="false" customHeight="false" outlineLevel="0" collapsed="false">
      <c r="A573" s="3" t="s">
        <v>429</v>
      </c>
      <c r="B573" s="3" t="s">
        <v>1102</v>
      </c>
      <c r="C573" s="3" t="s">
        <v>538</v>
      </c>
      <c r="D573" s="3" t="s">
        <v>520</v>
      </c>
      <c r="E573" s="6"/>
      <c r="F573" s="3" t="s">
        <v>532</v>
      </c>
      <c r="G573" s="5"/>
    </row>
    <row r="574" customFormat="false" ht="15" hidden="false" customHeight="false" outlineLevel="0" collapsed="false">
      <c r="A574" s="3" t="s">
        <v>430</v>
      </c>
      <c r="B574" s="3" t="s">
        <v>1103</v>
      </c>
      <c r="C574" s="3" t="s">
        <v>529</v>
      </c>
      <c r="D574" s="3" t="s">
        <v>511</v>
      </c>
      <c r="E574" s="6"/>
      <c r="F574" s="3" t="s">
        <v>597</v>
      </c>
      <c r="G574" s="5"/>
    </row>
    <row r="575" customFormat="false" ht="15" hidden="false" customHeight="false" outlineLevel="0" collapsed="false">
      <c r="A575" s="3" t="s">
        <v>430</v>
      </c>
      <c r="B575" s="3" t="s">
        <v>1104</v>
      </c>
      <c r="C575" s="3" t="s">
        <v>526</v>
      </c>
      <c r="D575" s="3" t="s">
        <v>520</v>
      </c>
      <c r="E575" s="6"/>
      <c r="F575" s="3" t="s">
        <v>597</v>
      </c>
      <c r="G575" s="5"/>
    </row>
    <row r="576" customFormat="false" ht="15" hidden="false" customHeight="false" outlineLevel="0" collapsed="false">
      <c r="A576" s="3" t="s">
        <v>431</v>
      </c>
      <c r="B576" s="3" t="s">
        <v>1105</v>
      </c>
      <c r="C576" s="3" t="s">
        <v>518</v>
      </c>
      <c r="D576" s="3" t="s">
        <v>514</v>
      </c>
      <c r="E576" s="6" t="n">
        <v>90</v>
      </c>
      <c r="F576" s="3" t="s">
        <v>532</v>
      </c>
      <c r="G576" s="5" t="n">
        <v>46243</v>
      </c>
    </row>
    <row r="577" customFormat="false" ht="15" hidden="false" customHeight="false" outlineLevel="0" collapsed="false">
      <c r="A577" s="3" t="s">
        <v>431</v>
      </c>
      <c r="B577" s="3" t="s">
        <v>1106</v>
      </c>
      <c r="C577" s="3" t="s">
        <v>510</v>
      </c>
      <c r="D577" s="3" t="s">
        <v>520</v>
      </c>
      <c r="E577" s="6"/>
      <c r="F577" s="3" t="s">
        <v>532</v>
      </c>
      <c r="G577" s="5"/>
    </row>
    <row r="578" customFormat="false" ht="15" hidden="false" customHeight="false" outlineLevel="0" collapsed="false">
      <c r="A578" s="3" t="s">
        <v>431</v>
      </c>
      <c r="B578" s="3" t="s">
        <v>1107</v>
      </c>
      <c r="C578" s="3" t="s">
        <v>543</v>
      </c>
      <c r="D578" s="3" t="s">
        <v>514</v>
      </c>
      <c r="E578" s="6" t="n">
        <v>70</v>
      </c>
      <c r="F578" s="3" t="s">
        <v>532</v>
      </c>
      <c r="G578" s="5" t="n">
        <v>46249</v>
      </c>
    </row>
    <row r="579" customFormat="false" ht="15" hidden="false" customHeight="false" outlineLevel="0" collapsed="false">
      <c r="A579" s="3" t="s">
        <v>431</v>
      </c>
      <c r="B579" s="3" t="s">
        <v>1108</v>
      </c>
      <c r="C579" s="3" t="s">
        <v>522</v>
      </c>
      <c r="D579" s="3" t="s">
        <v>514</v>
      </c>
      <c r="E579" s="6" t="n">
        <v>130</v>
      </c>
      <c r="F579" s="3" t="s">
        <v>532</v>
      </c>
      <c r="G579" s="5" t="n">
        <v>46241</v>
      </c>
    </row>
    <row r="580" customFormat="false" ht="15" hidden="false" customHeight="false" outlineLevel="0" collapsed="false">
      <c r="A580" s="3" t="s">
        <v>431</v>
      </c>
      <c r="B580" s="3" t="s">
        <v>1109</v>
      </c>
      <c r="C580" s="3" t="s">
        <v>575</v>
      </c>
      <c r="D580" s="3" t="s">
        <v>511</v>
      </c>
      <c r="E580" s="6"/>
      <c r="F580" s="3" t="s">
        <v>532</v>
      </c>
      <c r="G580" s="5"/>
    </row>
    <row r="581" customFormat="false" ht="15" hidden="false" customHeight="false" outlineLevel="0" collapsed="false">
      <c r="A581" s="3" t="s">
        <v>432</v>
      </c>
      <c r="B581" s="3" t="s">
        <v>1110</v>
      </c>
      <c r="C581" s="3" t="s">
        <v>575</v>
      </c>
      <c r="D581" s="3" t="s">
        <v>514</v>
      </c>
      <c r="E581" s="6" t="n">
        <v>190</v>
      </c>
      <c r="F581" s="3" t="s">
        <v>512</v>
      </c>
      <c r="G581" s="5" t="n">
        <v>46249</v>
      </c>
    </row>
    <row r="582" customFormat="false" ht="15" hidden="false" customHeight="false" outlineLevel="0" collapsed="false">
      <c r="A582" s="3" t="s">
        <v>432</v>
      </c>
      <c r="B582" s="3" t="s">
        <v>1111</v>
      </c>
      <c r="C582" s="3" t="s">
        <v>516</v>
      </c>
      <c r="D582" s="3" t="s">
        <v>514</v>
      </c>
      <c r="E582" s="6" t="n">
        <v>105</v>
      </c>
      <c r="F582" s="3" t="s">
        <v>512</v>
      </c>
      <c r="G582" s="5" t="n">
        <v>46255</v>
      </c>
    </row>
    <row r="583" customFormat="false" ht="15" hidden="false" customHeight="false" outlineLevel="0" collapsed="false">
      <c r="A583" s="3" t="s">
        <v>432</v>
      </c>
      <c r="B583" s="3" t="s">
        <v>1112</v>
      </c>
      <c r="C583" s="3" t="s">
        <v>535</v>
      </c>
      <c r="D583" s="3" t="s">
        <v>520</v>
      </c>
      <c r="E583" s="6"/>
      <c r="F583" s="3" t="s">
        <v>512</v>
      </c>
      <c r="G583" s="5"/>
    </row>
    <row r="584" customFormat="false" ht="15" hidden="false" customHeight="false" outlineLevel="0" collapsed="false">
      <c r="A584" s="3" t="s">
        <v>432</v>
      </c>
      <c r="B584" s="3" t="s">
        <v>1113</v>
      </c>
      <c r="C584" s="3" t="s">
        <v>518</v>
      </c>
      <c r="D584" s="3" t="s">
        <v>514</v>
      </c>
      <c r="E584" s="6" t="n">
        <v>80</v>
      </c>
      <c r="F584" s="3" t="s">
        <v>512</v>
      </c>
      <c r="G584" s="5" t="n">
        <v>46240</v>
      </c>
    </row>
    <row r="585" customFormat="false" ht="15" hidden="false" customHeight="false" outlineLevel="0" collapsed="false">
      <c r="A585" s="3" t="s">
        <v>433</v>
      </c>
      <c r="B585" s="3" t="s">
        <v>1114</v>
      </c>
      <c r="C585" s="3" t="s">
        <v>518</v>
      </c>
      <c r="D585" s="3" t="s">
        <v>514</v>
      </c>
      <c r="E585" s="6" t="n">
        <v>15</v>
      </c>
      <c r="F585" s="3" t="s">
        <v>512</v>
      </c>
      <c r="G585" s="5" t="n">
        <v>46267</v>
      </c>
    </row>
    <row r="586" customFormat="false" ht="15" hidden="false" customHeight="false" outlineLevel="0" collapsed="false">
      <c r="A586" s="3" t="s">
        <v>433</v>
      </c>
      <c r="B586" s="3" t="s">
        <v>1115</v>
      </c>
      <c r="C586" s="3" t="s">
        <v>564</v>
      </c>
      <c r="D586" s="3" t="s">
        <v>514</v>
      </c>
      <c r="E586" s="6" t="n">
        <v>120</v>
      </c>
      <c r="F586" s="3" t="s">
        <v>512</v>
      </c>
      <c r="G586" s="5" t="n">
        <v>46260</v>
      </c>
    </row>
    <row r="587" customFormat="false" ht="15" hidden="false" customHeight="false" outlineLevel="0" collapsed="false">
      <c r="A587" s="3" t="s">
        <v>433</v>
      </c>
      <c r="B587" s="3" t="s">
        <v>1116</v>
      </c>
      <c r="C587" s="3" t="s">
        <v>543</v>
      </c>
      <c r="D587" s="3" t="s">
        <v>514</v>
      </c>
      <c r="E587" s="6" t="n">
        <v>50</v>
      </c>
      <c r="F587" s="3" t="s">
        <v>512</v>
      </c>
      <c r="G587" s="5" t="n">
        <v>46226</v>
      </c>
    </row>
    <row r="588" customFormat="false" ht="15" hidden="false" customHeight="false" outlineLevel="0" collapsed="false">
      <c r="A588" s="3" t="s">
        <v>435</v>
      </c>
      <c r="B588" s="3" t="s">
        <v>1117</v>
      </c>
      <c r="C588" s="3" t="s">
        <v>535</v>
      </c>
      <c r="D588" s="3" t="s">
        <v>520</v>
      </c>
      <c r="E588" s="6"/>
      <c r="F588" s="3" t="s">
        <v>532</v>
      </c>
      <c r="G588" s="5"/>
    </row>
    <row r="589" customFormat="false" ht="15" hidden="false" customHeight="false" outlineLevel="0" collapsed="false">
      <c r="A589" s="3" t="s">
        <v>435</v>
      </c>
      <c r="B589" s="3" t="s">
        <v>1118</v>
      </c>
      <c r="C589" s="3" t="s">
        <v>543</v>
      </c>
      <c r="D589" s="3" t="s">
        <v>514</v>
      </c>
      <c r="E589" s="6" t="n">
        <v>510</v>
      </c>
      <c r="F589" s="3" t="s">
        <v>532</v>
      </c>
      <c r="G589" s="5" t="n">
        <v>46200</v>
      </c>
    </row>
    <row r="590" customFormat="false" ht="15" hidden="false" customHeight="false" outlineLevel="0" collapsed="false">
      <c r="A590" s="3" t="s">
        <v>435</v>
      </c>
      <c r="B590" s="3" t="s">
        <v>1119</v>
      </c>
      <c r="C590" s="3" t="s">
        <v>540</v>
      </c>
      <c r="D590" s="3" t="s">
        <v>520</v>
      </c>
      <c r="E590" s="6"/>
      <c r="F590" s="3" t="s">
        <v>532</v>
      </c>
      <c r="G590" s="5"/>
    </row>
    <row r="591" customFormat="false" ht="15" hidden="false" customHeight="false" outlineLevel="0" collapsed="false">
      <c r="A591" s="3" t="s">
        <v>435</v>
      </c>
      <c r="B591" s="3" t="s">
        <v>1120</v>
      </c>
      <c r="C591" s="3" t="s">
        <v>538</v>
      </c>
      <c r="D591" s="3" t="s">
        <v>514</v>
      </c>
      <c r="E591" s="6" t="n">
        <v>500</v>
      </c>
      <c r="F591" s="3" t="s">
        <v>532</v>
      </c>
      <c r="G591" s="5" t="n">
        <v>46247</v>
      </c>
    </row>
    <row r="592" customFormat="false" ht="15" hidden="false" customHeight="false" outlineLevel="0" collapsed="false">
      <c r="A592" s="3" t="s">
        <v>435</v>
      </c>
      <c r="B592" s="3" t="s">
        <v>1121</v>
      </c>
      <c r="C592" s="3" t="s">
        <v>552</v>
      </c>
      <c r="D592" s="3" t="s">
        <v>514</v>
      </c>
      <c r="E592" s="6" t="n">
        <v>100</v>
      </c>
      <c r="F592" s="3" t="s">
        <v>532</v>
      </c>
      <c r="G592" s="5" t="n">
        <v>46207</v>
      </c>
    </row>
    <row r="593" customFormat="false" ht="15" hidden="false" customHeight="false" outlineLevel="0" collapsed="false">
      <c r="A593" s="3" t="s">
        <v>436</v>
      </c>
      <c r="B593" s="3" t="s">
        <v>1122</v>
      </c>
      <c r="C593" s="3" t="s">
        <v>524</v>
      </c>
      <c r="D593" s="3" t="s">
        <v>514</v>
      </c>
      <c r="E593" s="6" t="n">
        <v>50</v>
      </c>
      <c r="F593" s="3" t="s">
        <v>512</v>
      </c>
      <c r="G593" s="5" t="n">
        <v>46218</v>
      </c>
    </row>
    <row r="594" customFormat="false" ht="15" hidden="false" customHeight="false" outlineLevel="0" collapsed="false">
      <c r="A594" s="3" t="s">
        <v>437</v>
      </c>
      <c r="B594" s="3" t="s">
        <v>1123</v>
      </c>
      <c r="C594" s="3" t="s">
        <v>538</v>
      </c>
      <c r="D594" s="3" t="s">
        <v>514</v>
      </c>
      <c r="E594" s="6" t="n">
        <v>120</v>
      </c>
      <c r="F594" s="3" t="s">
        <v>512</v>
      </c>
      <c r="G594" s="5" t="n">
        <v>46235</v>
      </c>
    </row>
    <row r="595" customFormat="false" ht="15" hidden="false" customHeight="false" outlineLevel="0" collapsed="false">
      <c r="A595" s="3" t="s">
        <v>437</v>
      </c>
      <c r="B595" s="3" t="s">
        <v>1124</v>
      </c>
      <c r="C595" s="3" t="s">
        <v>540</v>
      </c>
      <c r="D595" s="3" t="s">
        <v>514</v>
      </c>
      <c r="E595" s="6" t="n">
        <v>185</v>
      </c>
      <c r="F595" s="3" t="s">
        <v>512</v>
      </c>
      <c r="G595" s="5" t="n">
        <v>46238</v>
      </c>
    </row>
    <row r="596" customFormat="false" ht="15" hidden="false" customHeight="false" outlineLevel="0" collapsed="false">
      <c r="A596" s="3" t="s">
        <v>437</v>
      </c>
      <c r="B596" s="3" t="s">
        <v>1125</v>
      </c>
      <c r="C596" s="3" t="s">
        <v>529</v>
      </c>
      <c r="D596" s="3" t="s">
        <v>520</v>
      </c>
      <c r="E596" s="6"/>
      <c r="F596" s="3" t="s">
        <v>512</v>
      </c>
      <c r="G596" s="5"/>
    </row>
    <row r="597" customFormat="false" ht="15" hidden="false" customHeight="false" outlineLevel="0" collapsed="false">
      <c r="A597" s="3" t="s">
        <v>439</v>
      </c>
      <c r="B597" s="3" t="s">
        <v>1126</v>
      </c>
      <c r="C597" s="3" t="s">
        <v>518</v>
      </c>
      <c r="D597" s="3" t="s">
        <v>520</v>
      </c>
      <c r="E597" s="6"/>
      <c r="F597" s="3" t="s">
        <v>532</v>
      </c>
      <c r="G597" s="5"/>
    </row>
    <row r="598" customFormat="false" ht="15" hidden="false" customHeight="false" outlineLevel="0" collapsed="false">
      <c r="A598" s="3" t="s">
        <v>439</v>
      </c>
      <c r="B598" s="3" t="s">
        <v>1127</v>
      </c>
      <c r="C598" s="3" t="s">
        <v>575</v>
      </c>
      <c r="D598" s="3" t="s">
        <v>511</v>
      </c>
      <c r="E598" s="6"/>
      <c r="F598" s="3" t="s">
        <v>532</v>
      </c>
      <c r="G598" s="5"/>
    </row>
    <row r="599" customFormat="false" ht="15" hidden="false" customHeight="false" outlineLevel="0" collapsed="false">
      <c r="A599" s="3" t="s">
        <v>439</v>
      </c>
      <c r="B599" s="3" t="s">
        <v>1128</v>
      </c>
      <c r="C599" s="3" t="s">
        <v>538</v>
      </c>
      <c r="D599" s="3" t="s">
        <v>511</v>
      </c>
      <c r="E599" s="6"/>
      <c r="F599" s="3" t="s">
        <v>532</v>
      </c>
      <c r="G599" s="5"/>
    </row>
    <row r="600" customFormat="false" ht="15" hidden="false" customHeight="false" outlineLevel="0" collapsed="false">
      <c r="A600" s="3" t="s">
        <v>439</v>
      </c>
      <c r="B600" s="3" t="s">
        <v>1129</v>
      </c>
      <c r="C600" s="3" t="s">
        <v>529</v>
      </c>
      <c r="D600" s="3" t="s">
        <v>520</v>
      </c>
      <c r="E600" s="6"/>
      <c r="F600" s="3" t="s">
        <v>532</v>
      </c>
      <c r="G600" s="5"/>
    </row>
    <row r="601" customFormat="false" ht="15" hidden="false" customHeight="false" outlineLevel="0" collapsed="false">
      <c r="A601" s="3" t="s">
        <v>439</v>
      </c>
      <c r="B601" s="3" t="s">
        <v>1130</v>
      </c>
      <c r="C601" s="3" t="s">
        <v>516</v>
      </c>
      <c r="D601" s="3" t="s">
        <v>514</v>
      </c>
      <c r="E601" s="6" t="n">
        <v>540</v>
      </c>
      <c r="F601" s="3" t="s">
        <v>532</v>
      </c>
      <c r="G601" s="5" t="n">
        <v>46273</v>
      </c>
    </row>
    <row r="602" customFormat="false" ht="15" hidden="false" customHeight="false" outlineLevel="0" collapsed="false">
      <c r="A602" s="3" t="s">
        <v>439</v>
      </c>
      <c r="B602" s="3" t="s">
        <v>1131</v>
      </c>
      <c r="C602" s="3" t="s">
        <v>522</v>
      </c>
      <c r="D602" s="3" t="s">
        <v>520</v>
      </c>
      <c r="E602" s="6"/>
      <c r="F602" s="3" t="s">
        <v>532</v>
      </c>
      <c r="G602" s="5"/>
    </row>
    <row r="603" customFormat="false" ht="15" hidden="false" customHeight="false" outlineLevel="0" collapsed="false">
      <c r="A603" s="3" t="s">
        <v>439</v>
      </c>
      <c r="B603" s="3" t="s">
        <v>1132</v>
      </c>
      <c r="C603" s="3" t="s">
        <v>540</v>
      </c>
      <c r="D603" s="3" t="s">
        <v>514</v>
      </c>
      <c r="E603" s="6" t="n">
        <v>80</v>
      </c>
      <c r="F603" s="3" t="s">
        <v>532</v>
      </c>
      <c r="G603" s="5" t="n">
        <v>46232</v>
      </c>
    </row>
    <row r="604" customFormat="false" ht="15" hidden="false" customHeight="false" outlineLevel="0" collapsed="false">
      <c r="A604" s="3" t="s">
        <v>439</v>
      </c>
      <c r="B604" s="3" t="s">
        <v>1133</v>
      </c>
      <c r="C604" s="3" t="s">
        <v>531</v>
      </c>
      <c r="D604" s="3" t="s">
        <v>514</v>
      </c>
      <c r="E604" s="6" t="n">
        <v>330</v>
      </c>
      <c r="F604" s="3" t="s">
        <v>532</v>
      </c>
      <c r="G604" s="5" t="n">
        <v>46256</v>
      </c>
    </row>
    <row r="605" customFormat="false" ht="15" hidden="false" customHeight="false" outlineLevel="0" collapsed="false">
      <c r="A605" s="3" t="s">
        <v>440</v>
      </c>
      <c r="B605" s="3" t="s">
        <v>1134</v>
      </c>
      <c r="C605" s="3" t="s">
        <v>540</v>
      </c>
      <c r="D605" s="3" t="s">
        <v>514</v>
      </c>
      <c r="E605" s="6" t="n">
        <v>15</v>
      </c>
      <c r="F605" s="3" t="s">
        <v>512</v>
      </c>
      <c r="G605" s="5" t="n">
        <v>46264</v>
      </c>
    </row>
    <row r="606" customFormat="false" ht="15" hidden="false" customHeight="false" outlineLevel="0" collapsed="false">
      <c r="A606" s="3" t="s">
        <v>440</v>
      </c>
      <c r="B606" s="3" t="s">
        <v>1135</v>
      </c>
      <c r="C606" s="3" t="s">
        <v>543</v>
      </c>
      <c r="D606" s="3" t="s">
        <v>520</v>
      </c>
      <c r="E606" s="6"/>
      <c r="F606" s="3" t="s">
        <v>512</v>
      </c>
      <c r="G606" s="5"/>
    </row>
    <row r="607" customFormat="false" ht="15" hidden="false" customHeight="false" outlineLevel="0" collapsed="false">
      <c r="A607" s="3" t="s">
        <v>442</v>
      </c>
      <c r="B607" s="3" t="s">
        <v>1136</v>
      </c>
      <c r="C607" s="3" t="s">
        <v>518</v>
      </c>
      <c r="D607" s="3" t="s">
        <v>514</v>
      </c>
      <c r="E607" s="6" t="n">
        <v>125</v>
      </c>
      <c r="F607" s="3" t="s">
        <v>512</v>
      </c>
      <c r="G607" s="5" t="n">
        <v>46202</v>
      </c>
    </row>
    <row r="608" customFormat="false" ht="15" hidden="false" customHeight="false" outlineLevel="0" collapsed="false">
      <c r="A608" s="3" t="s">
        <v>442</v>
      </c>
      <c r="B608" s="3" t="s">
        <v>1137</v>
      </c>
      <c r="C608" s="3" t="s">
        <v>526</v>
      </c>
      <c r="D608" s="3" t="s">
        <v>514</v>
      </c>
      <c r="E608" s="6" t="n">
        <v>60</v>
      </c>
      <c r="F608" s="3" t="s">
        <v>512</v>
      </c>
      <c r="G608" s="5" t="n">
        <v>46250</v>
      </c>
    </row>
    <row r="609" customFormat="false" ht="15" hidden="false" customHeight="false" outlineLevel="0" collapsed="false">
      <c r="A609" s="3" t="s">
        <v>442</v>
      </c>
      <c r="B609" s="3" t="s">
        <v>1138</v>
      </c>
      <c r="C609" s="3" t="s">
        <v>543</v>
      </c>
      <c r="D609" s="3" t="s">
        <v>514</v>
      </c>
      <c r="E609" s="6" t="n">
        <v>170</v>
      </c>
      <c r="F609" s="3" t="s">
        <v>512</v>
      </c>
      <c r="G609" s="5" t="n">
        <v>46233</v>
      </c>
    </row>
    <row r="610" customFormat="false" ht="15" hidden="false" customHeight="false" outlineLevel="0" collapsed="false">
      <c r="A610" s="3" t="s">
        <v>442</v>
      </c>
      <c r="B610" s="3" t="s">
        <v>1139</v>
      </c>
      <c r="C610" s="3" t="s">
        <v>552</v>
      </c>
      <c r="D610" s="3" t="s">
        <v>520</v>
      </c>
      <c r="E610" s="6"/>
      <c r="F610" s="3" t="s">
        <v>512</v>
      </c>
      <c r="G610" s="5"/>
    </row>
    <row r="611" customFormat="false" ht="15" hidden="false" customHeight="false" outlineLevel="0" collapsed="false">
      <c r="A611" s="3" t="s">
        <v>444</v>
      </c>
      <c r="B611" s="3" t="s">
        <v>1140</v>
      </c>
      <c r="C611" s="3" t="s">
        <v>510</v>
      </c>
      <c r="D611" s="3" t="s">
        <v>514</v>
      </c>
      <c r="E611" s="6" t="n">
        <v>80</v>
      </c>
      <c r="F611" s="3" t="s">
        <v>532</v>
      </c>
      <c r="G611" s="5" t="n">
        <v>46281</v>
      </c>
    </row>
    <row r="612" customFormat="false" ht="15" hidden="false" customHeight="false" outlineLevel="0" collapsed="false">
      <c r="A612" s="3" t="s">
        <v>444</v>
      </c>
      <c r="B612" s="3" t="s">
        <v>1141</v>
      </c>
      <c r="C612" s="3" t="s">
        <v>535</v>
      </c>
      <c r="D612" s="3" t="s">
        <v>514</v>
      </c>
      <c r="E612" s="6" t="n">
        <v>510</v>
      </c>
      <c r="F612" s="3" t="s">
        <v>532</v>
      </c>
      <c r="G612" s="5" t="n">
        <v>46241</v>
      </c>
    </row>
    <row r="613" customFormat="false" ht="15" hidden="false" customHeight="false" outlineLevel="0" collapsed="false">
      <c r="A613" s="3" t="s">
        <v>444</v>
      </c>
      <c r="B613" s="3" t="s">
        <v>1142</v>
      </c>
      <c r="C613" s="3" t="s">
        <v>575</v>
      </c>
      <c r="D613" s="3" t="s">
        <v>514</v>
      </c>
      <c r="E613" s="6" t="n">
        <v>450</v>
      </c>
      <c r="F613" s="3" t="s">
        <v>532</v>
      </c>
      <c r="G613" s="5" t="n">
        <v>46256</v>
      </c>
    </row>
    <row r="614" customFormat="false" ht="15" hidden="false" customHeight="false" outlineLevel="0" collapsed="false">
      <c r="A614" s="3" t="s">
        <v>445</v>
      </c>
      <c r="B614" s="3" t="s">
        <v>1143</v>
      </c>
      <c r="C614" s="3" t="s">
        <v>564</v>
      </c>
      <c r="D614" s="3" t="s">
        <v>520</v>
      </c>
      <c r="E614" s="6"/>
      <c r="F614" s="3" t="s">
        <v>532</v>
      </c>
      <c r="G614" s="5"/>
    </row>
    <row r="615" customFormat="false" ht="15" hidden="false" customHeight="false" outlineLevel="0" collapsed="false">
      <c r="A615" s="3" t="s">
        <v>445</v>
      </c>
      <c r="B615" s="3" t="s">
        <v>1144</v>
      </c>
      <c r="C615" s="3" t="s">
        <v>510</v>
      </c>
      <c r="D615" s="3" t="s">
        <v>520</v>
      </c>
      <c r="E615" s="6"/>
      <c r="F615" s="3" t="s">
        <v>532</v>
      </c>
      <c r="G615" s="5"/>
    </row>
    <row r="616" customFormat="false" ht="15" hidden="false" customHeight="false" outlineLevel="0" collapsed="false">
      <c r="A616" s="3" t="s">
        <v>445</v>
      </c>
      <c r="B616" s="3" t="s">
        <v>1145</v>
      </c>
      <c r="C616" s="3" t="s">
        <v>526</v>
      </c>
      <c r="D616" s="3" t="s">
        <v>520</v>
      </c>
      <c r="E616" s="6"/>
      <c r="F616" s="3" t="s">
        <v>532</v>
      </c>
      <c r="G616" s="5"/>
    </row>
    <row r="617" customFormat="false" ht="15" hidden="false" customHeight="false" outlineLevel="0" collapsed="false">
      <c r="A617" s="3" t="s">
        <v>445</v>
      </c>
      <c r="B617" s="3" t="s">
        <v>1146</v>
      </c>
      <c r="C617" s="3" t="s">
        <v>575</v>
      </c>
      <c r="D617" s="3" t="s">
        <v>514</v>
      </c>
      <c r="E617" s="6" t="n">
        <v>330</v>
      </c>
      <c r="F617" s="3" t="s">
        <v>532</v>
      </c>
      <c r="G617" s="5" t="n">
        <v>46230</v>
      </c>
    </row>
    <row r="618" customFormat="false" ht="15" hidden="false" customHeight="false" outlineLevel="0" collapsed="false">
      <c r="A618" s="3" t="s">
        <v>446</v>
      </c>
      <c r="B618" s="3" t="s">
        <v>1147</v>
      </c>
      <c r="C618" s="3" t="s">
        <v>564</v>
      </c>
      <c r="D618" s="3" t="s">
        <v>511</v>
      </c>
      <c r="E618" s="6"/>
      <c r="F618" s="3" t="s">
        <v>532</v>
      </c>
      <c r="G618" s="5"/>
    </row>
    <row r="619" customFormat="false" ht="15" hidden="false" customHeight="false" outlineLevel="0" collapsed="false">
      <c r="A619" s="3" t="s">
        <v>446</v>
      </c>
      <c r="B619" s="3" t="s">
        <v>1148</v>
      </c>
      <c r="C619" s="3" t="s">
        <v>518</v>
      </c>
      <c r="D619" s="3" t="s">
        <v>520</v>
      </c>
      <c r="E619" s="6"/>
      <c r="F619" s="3" t="s">
        <v>532</v>
      </c>
      <c r="G619" s="5"/>
    </row>
    <row r="620" customFormat="false" ht="15" hidden="false" customHeight="false" outlineLevel="0" collapsed="false">
      <c r="A620" s="3" t="s">
        <v>446</v>
      </c>
      <c r="B620" s="3" t="s">
        <v>1149</v>
      </c>
      <c r="C620" s="3" t="s">
        <v>526</v>
      </c>
      <c r="D620" s="3" t="s">
        <v>514</v>
      </c>
      <c r="E620" s="6" t="n">
        <v>530</v>
      </c>
      <c r="F620" s="3" t="s">
        <v>532</v>
      </c>
      <c r="G620" s="5" t="n">
        <v>46257</v>
      </c>
    </row>
    <row r="621" customFormat="false" ht="15" hidden="false" customHeight="false" outlineLevel="0" collapsed="false">
      <c r="A621" s="3" t="s">
        <v>447</v>
      </c>
      <c r="B621" s="3" t="s">
        <v>1150</v>
      </c>
      <c r="C621" s="3" t="s">
        <v>538</v>
      </c>
      <c r="D621" s="3" t="s">
        <v>514</v>
      </c>
      <c r="E621" s="6" t="n">
        <v>85</v>
      </c>
      <c r="F621" s="3" t="s">
        <v>512</v>
      </c>
      <c r="G621" s="5" t="n">
        <v>46225</v>
      </c>
    </row>
    <row r="622" customFormat="false" ht="15" hidden="false" customHeight="false" outlineLevel="0" collapsed="false">
      <c r="A622" s="3" t="s">
        <v>447</v>
      </c>
      <c r="B622" s="3" t="s">
        <v>1151</v>
      </c>
      <c r="C622" s="3" t="s">
        <v>564</v>
      </c>
      <c r="D622" s="3" t="s">
        <v>511</v>
      </c>
      <c r="E622" s="6"/>
      <c r="F622" s="3" t="s">
        <v>512</v>
      </c>
      <c r="G622" s="5"/>
    </row>
    <row r="623" customFormat="false" ht="15" hidden="false" customHeight="false" outlineLevel="0" collapsed="false">
      <c r="A623" s="3" t="s">
        <v>447</v>
      </c>
      <c r="B623" s="3" t="s">
        <v>1152</v>
      </c>
      <c r="C623" s="3" t="s">
        <v>516</v>
      </c>
      <c r="D623" s="3" t="s">
        <v>514</v>
      </c>
      <c r="E623" s="6" t="n">
        <v>200</v>
      </c>
      <c r="F623" s="3" t="s">
        <v>512</v>
      </c>
      <c r="G623" s="5" t="n">
        <v>46223</v>
      </c>
    </row>
    <row r="624" customFormat="false" ht="15" hidden="false" customHeight="false" outlineLevel="0" collapsed="false">
      <c r="A624" s="3" t="s">
        <v>449</v>
      </c>
      <c r="B624" s="3" t="s">
        <v>1153</v>
      </c>
      <c r="C624" s="3" t="s">
        <v>538</v>
      </c>
      <c r="D624" s="3" t="s">
        <v>514</v>
      </c>
      <c r="E624" s="6" t="n">
        <v>20</v>
      </c>
      <c r="F624" s="3" t="s">
        <v>512</v>
      </c>
      <c r="G624" s="5" t="n">
        <v>46280</v>
      </c>
    </row>
    <row r="625" customFormat="false" ht="15" hidden="false" customHeight="false" outlineLevel="0" collapsed="false">
      <c r="A625" s="3" t="s">
        <v>449</v>
      </c>
      <c r="B625" s="3" t="s">
        <v>1154</v>
      </c>
      <c r="C625" s="3" t="s">
        <v>552</v>
      </c>
      <c r="D625" s="3" t="s">
        <v>511</v>
      </c>
      <c r="E625" s="6"/>
      <c r="F625" s="3" t="s">
        <v>512</v>
      </c>
      <c r="G625" s="5"/>
    </row>
    <row r="626" customFormat="false" ht="15" hidden="false" customHeight="false" outlineLevel="0" collapsed="false">
      <c r="A626" s="3" t="s">
        <v>449</v>
      </c>
      <c r="B626" s="3" t="s">
        <v>1155</v>
      </c>
      <c r="C626" s="3" t="s">
        <v>522</v>
      </c>
      <c r="D626" s="3" t="s">
        <v>520</v>
      </c>
      <c r="E626" s="6"/>
      <c r="F626" s="3" t="s">
        <v>512</v>
      </c>
      <c r="G626" s="5"/>
    </row>
    <row r="627" customFormat="false" ht="15" hidden="false" customHeight="false" outlineLevel="0" collapsed="false">
      <c r="A627" s="3" t="s">
        <v>450</v>
      </c>
      <c r="B627" s="3" t="s">
        <v>1156</v>
      </c>
      <c r="C627" s="3" t="s">
        <v>535</v>
      </c>
      <c r="D627" s="3" t="s">
        <v>511</v>
      </c>
      <c r="E627" s="6"/>
      <c r="F627" s="3" t="s">
        <v>512</v>
      </c>
      <c r="G627" s="5"/>
    </row>
    <row r="628" customFormat="false" ht="15" hidden="false" customHeight="false" outlineLevel="0" collapsed="false">
      <c r="A628" s="3" t="s">
        <v>450</v>
      </c>
      <c r="B628" s="3" t="s">
        <v>1157</v>
      </c>
      <c r="C628" s="3" t="s">
        <v>524</v>
      </c>
      <c r="D628" s="3" t="s">
        <v>511</v>
      </c>
      <c r="E628" s="6"/>
      <c r="F628" s="3" t="s">
        <v>512</v>
      </c>
      <c r="G628" s="5"/>
    </row>
    <row r="629" customFormat="false" ht="15" hidden="false" customHeight="false" outlineLevel="0" collapsed="false">
      <c r="A629" s="3" t="s">
        <v>450</v>
      </c>
      <c r="B629" s="3" t="s">
        <v>1158</v>
      </c>
      <c r="C629" s="3" t="s">
        <v>552</v>
      </c>
      <c r="D629" s="3" t="s">
        <v>514</v>
      </c>
      <c r="E629" s="6" t="n">
        <v>120</v>
      </c>
      <c r="F629" s="3" t="s">
        <v>512</v>
      </c>
      <c r="G629" s="5" t="n">
        <v>46269</v>
      </c>
    </row>
    <row r="630" customFormat="false" ht="15" hidden="false" customHeight="false" outlineLevel="0" collapsed="false">
      <c r="A630" s="3" t="s">
        <v>452</v>
      </c>
      <c r="B630" s="3" t="s">
        <v>1159</v>
      </c>
      <c r="C630" s="3" t="s">
        <v>564</v>
      </c>
      <c r="D630" s="3" t="s">
        <v>514</v>
      </c>
      <c r="E630" s="6" t="n">
        <v>580</v>
      </c>
      <c r="F630" s="3" t="s">
        <v>532</v>
      </c>
      <c r="G630" s="5" t="n">
        <v>46238</v>
      </c>
    </row>
    <row r="631" customFormat="false" ht="15" hidden="false" customHeight="false" outlineLevel="0" collapsed="false">
      <c r="A631" s="3" t="s">
        <v>452</v>
      </c>
      <c r="B631" s="3" t="s">
        <v>1160</v>
      </c>
      <c r="C631" s="3" t="s">
        <v>543</v>
      </c>
      <c r="D631" s="3" t="s">
        <v>514</v>
      </c>
      <c r="E631" s="6" t="n">
        <v>500</v>
      </c>
      <c r="F631" s="3" t="s">
        <v>532</v>
      </c>
      <c r="G631" s="5" t="n">
        <v>46254</v>
      </c>
    </row>
    <row r="632" customFormat="false" ht="15" hidden="false" customHeight="false" outlineLevel="0" collapsed="false">
      <c r="A632" s="3" t="s">
        <v>452</v>
      </c>
      <c r="B632" s="3" t="s">
        <v>1161</v>
      </c>
      <c r="C632" s="3" t="s">
        <v>524</v>
      </c>
      <c r="D632" s="3" t="s">
        <v>511</v>
      </c>
      <c r="E632" s="6"/>
      <c r="F632" s="3" t="s">
        <v>532</v>
      </c>
      <c r="G632" s="5"/>
    </row>
    <row r="633" customFormat="false" ht="15" hidden="false" customHeight="false" outlineLevel="0" collapsed="false">
      <c r="A633" s="3" t="s">
        <v>452</v>
      </c>
      <c r="B633" s="3" t="s">
        <v>1162</v>
      </c>
      <c r="C633" s="3" t="s">
        <v>535</v>
      </c>
      <c r="D633" s="3" t="s">
        <v>514</v>
      </c>
      <c r="E633" s="6" t="n">
        <v>570</v>
      </c>
      <c r="F633" s="3" t="s">
        <v>532</v>
      </c>
      <c r="G633" s="5" t="n">
        <v>46261</v>
      </c>
    </row>
    <row r="634" customFormat="false" ht="15" hidden="false" customHeight="false" outlineLevel="0" collapsed="false">
      <c r="A634" s="3" t="s">
        <v>453</v>
      </c>
      <c r="B634" s="3" t="s">
        <v>1163</v>
      </c>
      <c r="C634" s="3" t="s">
        <v>518</v>
      </c>
      <c r="D634" s="3" t="s">
        <v>514</v>
      </c>
      <c r="E634" s="6" t="n">
        <v>440</v>
      </c>
      <c r="F634" s="3" t="s">
        <v>532</v>
      </c>
      <c r="G634" s="5" t="n">
        <v>46219</v>
      </c>
    </row>
    <row r="635" customFormat="false" ht="15" hidden="false" customHeight="false" outlineLevel="0" collapsed="false">
      <c r="A635" s="3" t="s">
        <v>453</v>
      </c>
      <c r="B635" s="3" t="s">
        <v>1164</v>
      </c>
      <c r="C635" s="3" t="s">
        <v>510</v>
      </c>
      <c r="D635" s="3" t="s">
        <v>520</v>
      </c>
      <c r="E635" s="6"/>
      <c r="F635" s="3" t="s">
        <v>532</v>
      </c>
      <c r="G635" s="5"/>
    </row>
    <row r="636" customFormat="false" ht="15" hidden="false" customHeight="false" outlineLevel="0" collapsed="false">
      <c r="A636" s="3" t="s">
        <v>454</v>
      </c>
      <c r="B636" s="3" t="s">
        <v>1165</v>
      </c>
      <c r="C636" s="3" t="s">
        <v>518</v>
      </c>
      <c r="D636" s="3" t="s">
        <v>520</v>
      </c>
      <c r="E636" s="6"/>
      <c r="F636" s="3" t="s">
        <v>532</v>
      </c>
      <c r="G636" s="5"/>
    </row>
    <row r="637" customFormat="false" ht="15" hidden="false" customHeight="false" outlineLevel="0" collapsed="false">
      <c r="A637" s="3" t="s">
        <v>454</v>
      </c>
      <c r="B637" s="3" t="s">
        <v>1166</v>
      </c>
      <c r="C637" s="3" t="s">
        <v>535</v>
      </c>
      <c r="D637" s="3" t="s">
        <v>514</v>
      </c>
      <c r="E637" s="6" t="n">
        <v>70</v>
      </c>
      <c r="F637" s="3" t="s">
        <v>532</v>
      </c>
      <c r="G637" s="5" t="n">
        <v>46224</v>
      </c>
    </row>
    <row r="638" customFormat="false" ht="15" hidden="false" customHeight="false" outlineLevel="0" collapsed="false">
      <c r="A638" s="3" t="s">
        <v>454</v>
      </c>
      <c r="B638" s="3" t="s">
        <v>1167</v>
      </c>
      <c r="C638" s="3" t="s">
        <v>531</v>
      </c>
      <c r="D638" s="3" t="s">
        <v>511</v>
      </c>
      <c r="E638" s="6"/>
      <c r="F638" s="3" t="s">
        <v>532</v>
      </c>
      <c r="G638" s="5"/>
    </row>
    <row r="639" customFormat="false" ht="15" hidden="false" customHeight="false" outlineLevel="0" collapsed="false">
      <c r="A639" s="3" t="s">
        <v>454</v>
      </c>
      <c r="B639" s="3" t="s">
        <v>1168</v>
      </c>
      <c r="C639" s="3" t="s">
        <v>540</v>
      </c>
      <c r="D639" s="3" t="s">
        <v>514</v>
      </c>
      <c r="E639" s="6" t="n">
        <v>250</v>
      </c>
      <c r="F639" s="3" t="s">
        <v>532</v>
      </c>
      <c r="G639" s="5" t="n">
        <v>46204</v>
      </c>
    </row>
    <row r="640" customFormat="false" ht="15" hidden="false" customHeight="false" outlineLevel="0" collapsed="false">
      <c r="A640" s="3" t="s">
        <v>455</v>
      </c>
      <c r="B640" s="3" t="s">
        <v>1169</v>
      </c>
      <c r="C640" s="3" t="s">
        <v>531</v>
      </c>
      <c r="D640" s="3" t="s">
        <v>514</v>
      </c>
      <c r="E640" s="6" t="n">
        <v>410</v>
      </c>
      <c r="F640" s="3" t="s">
        <v>532</v>
      </c>
      <c r="G640" s="5" t="n">
        <v>46270</v>
      </c>
    </row>
    <row r="641" customFormat="false" ht="15" hidden="false" customHeight="false" outlineLevel="0" collapsed="false">
      <c r="A641" s="3" t="s">
        <v>455</v>
      </c>
      <c r="B641" s="3" t="s">
        <v>1170</v>
      </c>
      <c r="C641" s="3" t="s">
        <v>548</v>
      </c>
      <c r="D641" s="3" t="s">
        <v>520</v>
      </c>
      <c r="E641" s="6"/>
      <c r="F641" s="3" t="s">
        <v>532</v>
      </c>
      <c r="G641" s="5"/>
    </row>
    <row r="642" customFormat="false" ht="15" hidden="false" customHeight="false" outlineLevel="0" collapsed="false">
      <c r="A642" s="3" t="s">
        <v>455</v>
      </c>
      <c r="B642" s="3" t="s">
        <v>1171</v>
      </c>
      <c r="C642" s="3" t="s">
        <v>575</v>
      </c>
      <c r="D642" s="3" t="s">
        <v>520</v>
      </c>
      <c r="E642" s="6"/>
      <c r="F642" s="3" t="s">
        <v>532</v>
      </c>
      <c r="G642" s="5"/>
    </row>
    <row r="643" customFormat="false" ht="15" hidden="false" customHeight="false" outlineLevel="0" collapsed="false">
      <c r="A643" s="3" t="s">
        <v>455</v>
      </c>
      <c r="B643" s="3" t="s">
        <v>1172</v>
      </c>
      <c r="C643" s="3" t="s">
        <v>529</v>
      </c>
      <c r="D643" s="3" t="s">
        <v>520</v>
      </c>
      <c r="E643" s="6"/>
      <c r="F643" s="3" t="s">
        <v>532</v>
      </c>
      <c r="G643" s="5"/>
    </row>
    <row r="644" customFormat="false" ht="15" hidden="false" customHeight="false" outlineLevel="0" collapsed="false">
      <c r="A644" s="3" t="s">
        <v>455</v>
      </c>
      <c r="B644" s="3" t="s">
        <v>1173</v>
      </c>
      <c r="C644" s="3" t="s">
        <v>526</v>
      </c>
      <c r="D644" s="3" t="s">
        <v>511</v>
      </c>
      <c r="E644" s="6"/>
      <c r="F644" s="3" t="s">
        <v>532</v>
      </c>
      <c r="G644" s="5"/>
    </row>
    <row r="645" customFormat="false" ht="15" hidden="false" customHeight="false" outlineLevel="0" collapsed="false">
      <c r="A645" s="3" t="s">
        <v>456</v>
      </c>
      <c r="B645" s="3" t="s">
        <v>1174</v>
      </c>
      <c r="C645" s="3" t="s">
        <v>538</v>
      </c>
      <c r="D645" s="3" t="s">
        <v>511</v>
      </c>
      <c r="E645" s="6"/>
      <c r="F645" s="3" t="s">
        <v>512</v>
      </c>
      <c r="G645" s="5"/>
    </row>
    <row r="646" customFormat="false" ht="15" hidden="false" customHeight="false" outlineLevel="0" collapsed="false">
      <c r="A646" s="3" t="s">
        <v>456</v>
      </c>
      <c r="B646" s="3" t="s">
        <v>1175</v>
      </c>
      <c r="C646" s="3" t="s">
        <v>552</v>
      </c>
      <c r="D646" s="3" t="s">
        <v>514</v>
      </c>
      <c r="E646" s="6" t="n">
        <v>115</v>
      </c>
      <c r="F646" s="3" t="s">
        <v>512</v>
      </c>
      <c r="G646" s="5" t="n">
        <v>46254</v>
      </c>
    </row>
    <row r="647" customFormat="false" ht="15" hidden="false" customHeight="false" outlineLevel="0" collapsed="false">
      <c r="A647" s="3" t="s">
        <v>456</v>
      </c>
      <c r="B647" s="3" t="s">
        <v>1176</v>
      </c>
      <c r="C647" s="3" t="s">
        <v>548</v>
      </c>
      <c r="D647" s="3" t="s">
        <v>520</v>
      </c>
      <c r="E647" s="6"/>
      <c r="F647" s="3" t="s">
        <v>512</v>
      </c>
      <c r="G647" s="5"/>
    </row>
    <row r="648" customFormat="false" ht="15" hidden="false" customHeight="false" outlineLevel="0" collapsed="false">
      <c r="A648" s="3" t="s">
        <v>456</v>
      </c>
      <c r="B648" s="3" t="s">
        <v>1177</v>
      </c>
      <c r="C648" s="3" t="s">
        <v>535</v>
      </c>
      <c r="D648" s="3" t="s">
        <v>511</v>
      </c>
      <c r="E648" s="6"/>
      <c r="F648" s="3" t="s">
        <v>512</v>
      </c>
      <c r="G648" s="5"/>
    </row>
    <row r="649" customFormat="false" ht="15" hidden="false" customHeight="false" outlineLevel="0" collapsed="false">
      <c r="A649" s="3" t="s">
        <v>458</v>
      </c>
      <c r="B649" s="3" t="s">
        <v>1178</v>
      </c>
      <c r="C649" s="3" t="s">
        <v>524</v>
      </c>
      <c r="D649" s="3" t="s">
        <v>514</v>
      </c>
      <c r="E649" s="6" t="n">
        <v>160</v>
      </c>
      <c r="F649" s="3" t="s">
        <v>512</v>
      </c>
      <c r="G649" s="5" t="n">
        <v>46257</v>
      </c>
    </row>
    <row r="650" customFormat="false" ht="15" hidden="false" customHeight="false" outlineLevel="0" collapsed="false">
      <c r="A650" s="3" t="s">
        <v>459</v>
      </c>
      <c r="B650" s="3" t="s">
        <v>1179</v>
      </c>
      <c r="C650" s="3" t="s">
        <v>531</v>
      </c>
      <c r="D650" s="3" t="s">
        <v>514</v>
      </c>
      <c r="E650" s="6" t="n">
        <v>110</v>
      </c>
      <c r="F650" s="3" t="s">
        <v>532</v>
      </c>
      <c r="G650" s="5" t="n">
        <v>46237</v>
      </c>
    </row>
    <row r="651" customFormat="false" ht="15" hidden="false" customHeight="false" outlineLevel="0" collapsed="false">
      <c r="A651" s="3" t="s">
        <v>460</v>
      </c>
      <c r="B651" s="3" t="s">
        <v>1180</v>
      </c>
      <c r="C651" s="3" t="s">
        <v>535</v>
      </c>
      <c r="D651" s="3" t="s">
        <v>514</v>
      </c>
      <c r="E651" s="6" t="n">
        <v>40</v>
      </c>
      <c r="F651" s="3" t="s">
        <v>512</v>
      </c>
      <c r="G651" s="5" t="n">
        <v>46198</v>
      </c>
    </row>
    <row r="652" customFormat="false" ht="15" hidden="false" customHeight="false" outlineLevel="0" collapsed="false">
      <c r="A652" s="3" t="s">
        <v>460</v>
      </c>
      <c r="B652" s="3" t="s">
        <v>1181</v>
      </c>
      <c r="C652" s="3" t="s">
        <v>516</v>
      </c>
      <c r="D652" s="3" t="s">
        <v>514</v>
      </c>
      <c r="E652" s="6" t="n">
        <v>135</v>
      </c>
      <c r="F652" s="3" t="s">
        <v>512</v>
      </c>
      <c r="G652" s="5" t="n">
        <v>46250</v>
      </c>
    </row>
    <row r="653" customFormat="false" ht="15" hidden="false" customHeight="false" outlineLevel="0" collapsed="false">
      <c r="A653" s="3" t="s">
        <v>460</v>
      </c>
      <c r="B653" s="3" t="s">
        <v>1182</v>
      </c>
      <c r="C653" s="3" t="s">
        <v>548</v>
      </c>
      <c r="D653" s="3" t="s">
        <v>511</v>
      </c>
      <c r="E653" s="6"/>
      <c r="F653" s="3" t="s">
        <v>512</v>
      </c>
      <c r="G653" s="5"/>
    </row>
    <row r="654" customFormat="false" ht="15" hidden="false" customHeight="false" outlineLevel="0" collapsed="false">
      <c r="A654" s="3" t="s">
        <v>461</v>
      </c>
      <c r="B654" s="3" t="s">
        <v>1183</v>
      </c>
      <c r="C654" s="3" t="s">
        <v>552</v>
      </c>
      <c r="D654" s="3" t="s">
        <v>511</v>
      </c>
      <c r="E654" s="6"/>
      <c r="F654" s="3" t="s">
        <v>512</v>
      </c>
      <c r="G654" s="5"/>
    </row>
    <row r="655" customFormat="false" ht="15" hidden="false" customHeight="false" outlineLevel="0" collapsed="false">
      <c r="A655" s="3" t="s">
        <v>461</v>
      </c>
      <c r="B655" s="3" t="s">
        <v>1184</v>
      </c>
      <c r="C655" s="3" t="s">
        <v>522</v>
      </c>
      <c r="D655" s="3" t="s">
        <v>514</v>
      </c>
      <c r="E655" s="6" t="n">
        <v>55</v>
      </c>
      <c r="F655" s="3" t="s">
        <v>512</v>
      </c>
      <c r="G655" s="5" t="n">
        <v>46222</v>
      </c>
    </row>
    <row r="656" customFormat="false" ht="15" hidden="false" customHeight="false" outlineLevel="0" collapsed="false">
      <c r="A656" s="3" t="s">
        <v>462</v>
      </c>
      <c r="B656" s="3" t="s">
        <v>1185</v>
      </c>
      <c r="C656" s="3" t="s">
        <v>564</v>
      </c>
      <c r="D656" s="3" t="s">
        <v>511</v>
      </c>
      <c r="E656" s="6"/>
      <c r="F656" s="3" t="s">
        <v>597</v>
      </c>
      <c r="G656" s="5"/>
    </row>
    <row r="657" customFormat="false" ht="15" hidden="false" customHeight="false" outlineLevel="0" collapsed="false">
      <c r="A657" s="3" t="s">
        <v>462</v>
      </c>
      <c r="B657" s="3" t="s">
        <v>1186</v>
      </c>
      <c r="C657" s="3" t="s">
        <v>548</v>
      </c>
      <c r="D657" s="3" t="s">
        <v>514</v>
      </c>
      <c r="E657" s="6" t="n">
        <v>195</v>
      </c>
      <c r="F657" s="3" t="s">
        <v>597</v>
      </c>
      <c r="G657" s="5" t="n">
        <v>46263</v>
      </c>
    </row>
    <row r="658" customFormat="false" ht="15" hidden="false" customHeight="false" outlineLevel="0" collapsed="false">
      <c r="A658" s="3" t="s">
        <v>462</v>
      </c>
      <c r="B658" s="3" t="s">
        <v>1187</v>
      </c>
      <c r="C658" s="3" t="s">
        <v>516</v>
      </c>
      <c r="D658" s="3" t="s">
        <v>511</v>
      </c>
      <c r="E658" s="6"/>
      <c r="F658" s="3" t="s">
        <v>597</v>
      </c>
      <c r="G658" s="5"/>
    </row>
    <row r="659" customFormat="false" ht="15" hidden="false" customHeight="false" outlineLevel="0" collapsed="false">
      <c r="A659" s="3" t="s">
        <v>462</v>
      </c>
      <c r="B659" s="3" t="s">
        <v>1188</v>
      </c>
      <c r="C659" s="3" t="s">
        <v>552</v>
      </c>
      <c r="D659" s="3" t="s">
        <v>511</v>
      </c>
      <c r="E659" s="6"/>
      <c r="F659" s="3" t="s">
        <v>597</v>
      </c>
      <c r="G659" s="5"/>
    </row>
    <row r="660" customFormat="false" ht="15" hidden="false" customHeight="false" outlineLevel="0" collapsed="false">
      <c r="A660" s="3" t="s">
        <v>463</v>
      </c>
      <c r="B660" s="3" t="s">
        <v>1189</v>
      </c>
      <c r="C660" s="3" t="s">
        <v>526</v>
      </c>
      <c r="D660" s="3" t="s">
        <v>520</v>
      </c>
      <c r="E660" s="6"/>
      <c r="F660" s="3" t="s">
        <v>532</v>
      </c>
      <c r="G660" s="5"/>
    </row>
    <row r="661" customFormat="false" ht="15" hidden="false" customHeight="false" outlineLevel="0" collapsed="false">
      <c r="A661" s="3" t="s">
        <v>464</v>
      </c>
      <c r="B661" s="3" t="s">
        <v>1190</v>
      </c>
      <c r="C661" s="3" t="s">
        <v>535</v>
      </c>
      <c r="D661" s="3" t="s">
        <v>514</v>
      </c>
      <c r="E661" s="6" t="n">
        <v>45</v>
      </c>
      <c r="F661" s="3" t="s">
        <v>512</v>
      </c>
      <c r="G661" s="5" t="n">
        <v>46215</v>
      </c>
    </row>
    <row r="662" customFormat="false" ht="15" hidden="false" customHeight="false" outlineLevel="0" collapsed="false">
      <c r="A662" s="3" t="s">
        <v>464</v>
      </c>
      <c r="B662" s="3" t="s">
        <v>1191</v>
      </c>
      <c r="C662" s="3" t="s">
        <v>510</v>
      </c>
      <c r="D662" s="3" t="s">
        <v>520</v>
      </c>
      <c r="E662" s="6"/>
      <c r="F662" s="3" t="s">
        <v>512</v>
      </c>
      <c r="G662" s="5"/>
    </row>
    <row r="663" customFormat="false" ht="15" hidden="false" customHeight="false" outlineLevel="0" collapsed="false">
      <c r="A663" s="3" t="s">
        <v>464</v>
      </c>
      <c r="B663" s="3" t="s">
        <v>1192</v>
      </c>
      <c r="C663" s="3" t="s">
        <v>518</v>
      </c>
      <c r="D663" s="3" t="s">
        <v>514</v>
      </c>
      <c r="E663" s="6" t="n">
        <v>30</v>
      </c>
      <c r="F663" s="3" t="s">
        <v>512</v>
      </c>
      <c r="G663" s="5" t="n">
        <v>46265</v>
      </c>
    </row>
    <row r="664" customFormat="false" ht="15" hidden="false" customHeight="false" outlineLevel="0" collapsed="false">
      <c r="A664" s="3" t="s">
        <v>464</v>
      </c>
      <c r="B664" s="3" t="s">
        <v>1193</v>
      </c>
      <c r="C664" s="3" t="s">
        <v>548</v>
      </c>
      <c r="D664" s="3" t="s">
        <v>514</v>
      </c>
      <c r="E664" s="6" t="n">
        <v>170</v>
      </c>
      <c r="F664" s="3" t="s">
        <v>512</v>
      </c>
      <c r="G664" s="5" t="n">
        <v>46263</v>
      </c>
    </row>
    <row r="665" customFormat="false" ht="15" hidden="false" customHeight="false" outlineLevel="0" collapsed="false">
      <c r="A665" s="3" t="s">
        <v>464</v>
      </c>
      <c r="B665" s="3" t="s">
        <v>1194</v>
      </c>
      <c r="C665" s="3" t="s">
        <v>575</v>
      </c>
      <c r="D665" s="3" t="s">
        <v>514</v>
      </c>
      <c r="E665" s="6" t="n">
        <v>115</v>
      </c>
      <c r="F665" s="3" t="s">
        <v>512</v>
      </c>
      <c r="G665" s="5" t="n">
        <v>46240</v>
      </c>
    </row>
    <row r="666" customFormat="false" ht="15" hidden="false" customHeight="false" outlineLevel="0" collapsed="false">
      <c r="A666" s="3" t="s">
        <v>464</v>
      </c>
      <c r="B666" s="3" t="s">
        <v>1195</v>
      </c>
      <c r="C666" s="3" t="s">
        <v>552</v>
      </c>
      <c r="D666" s="3" t="s">
        <v>514</v>
      </c>
      <c r="E666" s="6" t="n">
        <v>125</v>
      </c>
      <c r="F666" s="3" t="s">
        <v>512</v>
      </c>
      <c r="G666" s="5" t="n">
        <v>46258</v>
      </c>
    </row>
    <row r="667" customFormat="false" ht="15" hidden="false" customHeight="false" outlineLevel="0" collapsed="false">
      <c r="A667" s="3" t="s">
        <v>465</v>
      </c>
      <c r="B667" s="3" t="s">
        <v>1196</v>
      </c>
      <c r="C667" s="3" t="s">
        <v>518</v>
      </c>
      <c r="D667" s="3" t="s">
        <v>514</v>
      </c>
      <c r="E667" s="6" t="n">
        <v>45</v>
      </c>
      <c r="F667" s="3" t="s">
        <v>512</v>
      </c>
      <c r="G667" s="5" t="n">
        <v>46254</v>
      </c>
    </row>
    <row r="668" customFormat="false" ht="15" hidden="false" customHeight="false" outlineLevel="0" collapsed="false">
      <c r="A668" s="3" t="s">
        <v>465</v>
      </c>
      <c r="B668" s="3" t="s">
        <v>1197</v>
      </c>
      <c r="C668" s="3" t="s">
        <v>543</v>
      </c>
      <c r="D668" s="3" t="s">
        <v>514</v>
      </c>
      <c r="E668" s="6" t="n">
        <v>90</v>
      </c>
      <c r="F668" s="3" t="s">
        <v>512</v>
      </c>
      <c r="G668" s="5" t="n">
        <v>46208</v>
      </c>
    </row>
    <row r="669" customFormat="false" ht="15" hidden="false" customHeight="false" outlineLevel="0" collapsed="false">
      <c r="A669" s="3" t="s">
        <v>468</v>
      </c>
      <c r="B669" s="3" t="s">
        <v>1198</v>
      </c>
      <c r="C669" s="3" t="s">
        <v>510</v>
      </c>
      <c r="D669" s="3" t="s">
        <v>520</v>
      </c>
      <c r="E669" s="6"/>
      <c r="F669" s="3" t="s">
        <v>512</v>
      </c>
      <c r="G669" s="5"/>
    </row>
    <row r="670" customFormat="false" ht="15" hidden="false" customHeight="false" outlineLevel="0" collapsed="false">
      <c r="A670" s="3" t="s">
        <v>468</v>
      </c>
      <c r="B670" s="3" t="s">
        <v>1199</v>
      </c>
      <c r="C670" s="3" t="s">
        <v>538</v>
      </c>
      <c r="D670" s="3" t="s">
        <v>514</v>
      </c>
      <c r="E670" s="6" t="n">
        <v>125</v>
      </c>
      <c r="F670" s="3" t="s">
        <v>512</v>
      </c>
      <c r="G670" s="5" t="n">
        <v>46247</v>
      </c>
    </row>
    <row r="671" customFormat="false" ht="15" hidden="false" customHeight="false" outlineLevel="0" collapsed="false">
      <c r="A671" s="3" t="s">
        <v>468</v>
      </c>
      <c r="B671" s="3" t="s">
        <v>1200</v>
      </c>
      <c r="C671" s="3" t="s">
        <v>522</v>
      </c>
      <c r="D671" s="3" t="s">
        <v>514</v>
      </c>
      <c r="E671" s="6" t="n">
        <v>60</v>
      </c>
      <c r="F671" s="3" t="s">
        <v>512</v>
      </c>
      <c r="G671" s="5" t="n">
        <v>46290</v>
      </c>
    </row>
    <row r="672" customFormat="false" ht="15" hidden="false" customHeight="false" outlineLevel="0" collapsed="false">
      <c r="A672" s="3" t="s">
        <v>469</v>
      </c>
      <c r="B672" s="3" t="s">
        <v>1201</v>
      </c>
      <c r="C672" s="3" t="s">
        <v>575</v>
      </c>
      <c r="D672" s="3" t="s">
        <v>520</v>
      </c>
      <c r="E672" s="6"/>
      <c r="F672" s="3" t="s">
        <v>512</v>
      </c>
      <c r="G672" s="5"/>
    </row>
    <row r="673" customFormat="false" ht="15" hidden="false" customHeight="false" outlineLevel="0" collapsed="false">
      <c r="A673" s="3" t="s">
        <v>469</v>
      </c>
      <c r="B673" s="3" t="s">
        <v>1202</v>
      </c>
      <c r="C673" s="3" t="s">
        <v>552</v>
      </c>
      <c r="D673" s="3" t="s">
        <v>514</v>
      </c>
      <c r="E673" s="6" t="n">
        <v>110</v>
      </c>
      <c r="F673" s="3" t="s">
        <v>512</v>
      </c>
      <c r="G673" s="5" t="n">
        <v>46238</v>
      </c>
    </row>
    <row r="674" customFormat="false" ht="15" hidden="false" customHeight="false" outlineLevel="0" collapsed="false">
      <c r="A674" s="3" t="s">
        <v>471</v>
      </c>
      <c r="B674" s="3" t="s">
        <v>1203</v>
      </c>
      <c r="C674" s="3" t="s">
        <v>575</v>
      </c>
      <c r="D674" s="3" t="s">
        <v>514</v>
      </c>
      <c r="E674" s="6" t="n">
        <v>200</v>
      </c>
      <c r="F674" s="3" t="s">
        <v>512</v>
      </c>
      <c r="G674" s="5" t="n">
        <v>46198</v>
      </c>
    </row>
    <row r="675" customFormat="false" ht="15" hidden="false" customHeight="false" outlineLevel="0" collapsed="false">
      <c r="A675" s="3" t="s">
        <v>471</v>
      </c>
      <c r="B675" s="3" t="s">
        <v>1204</v>
      </c>
      <c r="C675" s="3" t="s">
        <v>524</v>
      </c>
      <c r="D675" s="3" t="s">
        <v>514</v>
      </c>
      <c r="E675" s="6" t="n">
        <v>80</v>
      </c>
      <c r="F675" s="3" t="s">
        <v>512</v>
      </c>
      <c r="G675" s="5" t="n">
        <v>46198</v>
      </c>
    </row>
    <row r="676" customFormat="false" ht="15" hidden="false" customHeight="false" outlineLevel="0" collapsed="false">
      <c r="A676" s="3" t="s">
        <v>473</v>
      </c>
      <c r="B676" s="3" t="s">
        <v>1205</v>
      </c>
      <c r="C676" s="3" t="s">
        <v>548</v>
      </c>
      <c r="D676" s="3" t="s">
        <v>520</v>
      </c>
      <c r="E676" s="6"/>
      <c r="F676" s="3" t="s">
        <v>512</v>
      </c>
      <c r="G676" s="5"/>
    </row>
    <row r="677" customFormat="false" ht="15" hidden="false" customHeight="false" outlineLevel="0" collapsed="false">
      <c r="A677" s="3" t="s">
        <v>473</v>
      </c>
      <c r="B677" s="3" t="s">
        <v>1206</v>
      </c>
      <c r="C677" s="3" t="s">
        <v>543</v>
      </c>
      <c r="D677" s="3" t="s">
        <v>514</v>
      </c>
      <c r="E677" s="6" t="n">
        <v>95</v>
      </c>
      <c r="F677" s="3" t="s">
        <v>512</v>
      </c>
      <c r="G677" s="5" t="n">
        <v>46269</v>
      </c>
    </row>
    <row r="678" customFormat="false" ht="15" hidden="false" customHeight="false" outlineLevel="0" collapsed="false">
      <c r="A678" s="3" t="s">
        <v>473</v>
      </c>
      <c r="B678" s="3" t="s">
        <v>1207</v>
      </c>
      <c r="C678" s="3" t="s">
        <v>510</v>
      </c>
      <c r="D678" s="3" t="s">
        <v>514</v>
      </c>
      <c r="E678" s="6" t="n">
        <v>75</v>
      </c>
      <c r="F678" s="3" t="s">
        <v>512</v>
      </c>
      <c r="G678" s="5" t="n">
        <v>46272</v>
      </c>
    </row>
    <row r="679" customFormat="false" ht="15" hidden="false" customHeight="false" outlineLevel="0" collapsed="false">
      <c r="A679" s="3" t="s">
        <v>473</v>
      </c>
      <c r="B679" s="3" t="s">
        <v>1208</v>
      </c>
      <c r="C679" s="3" t="s">
        <v>540</v>
      </c>
      <c r="D679" s="3" t="s">
        <v>514</v>
      </c>
      <c r="E679" s="6" t="n">
        <v>155</v>
      </c>
      <c r="F679" s="3" t="s">
        <v>512</v>
      </c>
      <c r="G679" s="5" t="n">
        <v>46246</v>
      </c>
    </row>
    <row r="680" customFormat="false" ht="15" hidden="false" customHeight="false" outlineLevel="0" collapsed="false">
      <c r="A680" s="3" t="s">
        <v>474</v>
      </c>
      <c r="B680" s="3" t="s">
        <v>1209</v>
      </c>
      <c r="C680" s="3" t="s">
        <v>540</v>
      </c>
      <c r="D680" s="3" t="s">
        <v>520</v>
      </c>
      <c r="E680" s="6"/>
      <c r="F680" s="3" t="s">
        <v>512</v>
      </c>
      <c r="G680" s="5"/>
    </row>
    <row r="681" customFormat="false" ht="15" hidden="false" customHeight="false" outlineLevel="0" collapsed="false">
      <c r="A681" s="3" t="s">
        <v>474</v>
      </c>
      <c r="B681" s="3" t="s">
        <v>1210</v>
      </c>
      <c r="C681" s="3" t="s">
        <v>535</v>
      </c>
      <c r="D681" s="3" t="s">
        <v>511</v>
      </c>
      <c r="E681" s="6"/>
      <c r="F681" s="3" t="s">
        <v>512</v>
      </c>
      <c r="G681" s="5"/>
    </row>
    <row r="682" customFormat="false" ht="15" hidden="false" customHeight="false" outlineLevel="0" collapsed="false">
      <c r="A682" s="3" t="s">
        <v>476</v>
      </c>
      <c r="B682" s="3" t="s">
        <v>1211</v>
      </c>
      <c r="C682" s="3" t="s">
        <v>548</v>
      </c>
      <c r="D682" s="3" t="s">
        <v>520</v>
      </c>
      <c r="E682" s="6"/>
      <c r="F682" s="3" t="s">
        <v>597</v>
      </c>
      <c r="G682" s="5"/>
    </row>
    <row r="683" customFormat="false" ht="15" hidden="false" customHeight="false" outlineLevel="0" collapsed="false">
      <c r="A683" s="3" t="s">
        <v>476</v>
      </c>
      <c r="B683" s="3" t="s">
        <v>1212</v>
      </c>
      <c r="C683" s="3" t="s">
        <v>522</v>
      </c>
      <c r="D683" s="3" t="s">
        <v>514</v>
      </c>
      <c r="E683" s="6" t="n">
        <v>195</v>
      </c>
      <c r="F683" s="3" t="s">
        <v>597</v>
      </c>
      <c r="G683" s="5" t="n">
        <v>46246</v>
      </c>
    </row>
    <row r="684" customFormat="false" ht="15" hidden="false" customHeight="false" outlineLevel="0" collapsed="false">
      <c r="A684" s="3" t="s">
        <v>477</v>
      </c>
      <c r="B684" s="3" t="s">
        <v>1213</v>
      </c>
      <c r="C684" s="3" t="s">
        <v>548</v>
      </c>
      <c r="D684" s="3" t="s">
        <v>514</v>
      </c>
      <c r="E684" s="6" t="n">
        <v>220</v>
      </c>
      <c r="F684" s="3" t="s">
        <v>532</v>
      </c>
      <c r="G684" s="5" t="n">
        <v>46216</v>
      </c>
    </row>
    <row r="685" customFormat="false" ht="15" hidden="false" customHeight="false" outlineLevel="0" collapsed="false">
      <c r="A685" s="3" t="s">
        <v>478</v>
      </c>
      <c r="B685" s="3" t="s">
        <v>1214</v>
      </c>
      <c r="C685" s="3" t="s">
        <v>516</v>
      </c>
      <c r="D685" s="3" t="s">
        <v>511</v>
      </c>
      <c r="E685" s="6"/>
      <c r="F685" s="3" t="s">
        <v>512</v>
      </c>
      <c r="G685" s="5"/>
    </row>
    <row r="686" customFormat="false" ht="15" hidden="false" customHeight="false" outlineLevel="0" collapsed="false">
      <c r="A686" s="3" t="s">
        <v>479</v>
      </c>
      <c r="B686" s="3" t="s">
        <v>1215</v>
      </c>
      <c r="C686" s="3" t="s">
        <v>540</v>
      </c>
      <c r="D686" s="3" t="s">
        <v>514</v>
      </c>
      <c r="E686" s="6" t="n">
        <v>75</v>
      </c>
      <c r="F686" s="3" t="s">
        <v>597</v>
      </c>
      <c r="G686" s="5" t="n">
        <v>46231</v>
      </c>
    </row>
    <row r="687" customFormat="false" ht="15" hidden="false" customHeight="false" outlineLevel="0" collapsed="false">
      <c r="A687" s="3" t="s">
        <v>479</v>
      </c>
      <c r="B687" s="3" t="s">
        <v>1216</v>
      </c>
      <c r="C687" s="3" t="s">
        <v>529</v>
      </c>
      <c r="D687" s="3" t="s">
        <v>514</v>
      </c>
      <c r="E687" s="6" t="n">
        <v>140</v>
      </c>
      <c r="F687" s="3" t="s">
        <v>597</v>
      </c>
      <c r="G687" s="5" t="n">
        <v>46226</v>
      </c>
    </row>
    <row r="688" customFormat="false" ht="15" hidden="false" customHeight="false" outlineLevel="0" collapsed="false">
      <c r="A688" s="3" t="s">
        <v>479</v>
      </c>
      <c r="B688" s="3" t="s">
        <v>1217</v>
      </c>
      <c r="C688" s="3" t="s">
        <v>564</v>
      </c>
      <c r="D688" s="3" t="s">
        <v>514</v>
      </c>
      <c r="E688" s="6" t="n">
        <v>25</v>
      </c>
      <c r="F688" s="3" t="s">
        <v>597</v>
      </c>
      <c r="G688" s="5" t="n">
        <v>46246</v>
      </c>
    </row>
    <row r="689" customFormat="false" ht="15" hidden="false" customHeight="false" outlineLevel="0" collapsed="false">
      <c r="A689" s="3" t="s">
        <v>480</v>
      </c>
      <c r="B689" s="3" t="s">
        <v>1218</v>
      </c>
      <c r="C689" s="3" t="s">
        <v>564</v>
      </c>
      <c r="D689" s="3" t="s">
        <v>514</v>
      </c>
      <c r="E689" s="6" t="n">
        <v>105</v>
      </c>
      <c r="F689" s="3" t="s">
        <v>512</v>
      </c>
      <c r="G689" s="5" t="n">
        <v>46243</v>
      </c>
    </row>
    <row r="690" customFormat="false" ht="15" hidden="false" customHeight="false" outlineLevel="0" collapsed="false">
      <c r="A690" s="3" t="s">
        <v>480</v>
      </c>
      <c r="B690" s="3" t="s">
        <v>1219</v>
      </c>
      <c r="C690" s="3" t="s">
        <v>518</v>
      </c>
      <c r="D690" s="3" t="s">
        <v>511</v>
      </c>
      <c r="E690" s="6"/>
      <c r="F690" s="3" t="s">
        <v>512</v>
      </c>
      <c r="G690" s="5"/>
    </row>
    <row r="691" customFormat="false" ht="15" hidden="false" customHeight="false" outlineLevel="0" collapsed="false">
      <c r="A691" s="3" t="s">
        <v>482</v>
      </c>
      <c r="B691" s="3" t="s">
        <v>1220</v>
      </c>
      <c r="C691" s="3" t="s">
        <v>575</v>
      </c>
      <c r="D691" s="3" t="s">
        <v>514</v>
      </c>
      <c r="E691" s="6" t="n">
        <v>170</v>
      </c>
      <c r="F691" s="3" t="s">
        <v>512</v>
      </c>
      <c r="G691" s="5" t="n">
        <v>46236</v>
      </c>
    </row>
    <row r="692" customFormat="false" ht="15" hidden="false" customHeight="false" outlineLevel="0" collapsed="false">
      <c r="A692" s="3" t="s">
        <v>482</v>
      </c>
      <c r="B692" s="3" t="s">
        <v>1221</v>
      </c>
      <c r="C692" s="3" t="s">
        <v>538</v>
      </c>
      <c r="D692" s="3" t="s">
        <v>511</v>
      </c>
      <c r="E692" s="6"/>
      <c r="F692" s="3" t="s">
        <v>512</v>
      </c>
      <c r="G692" s="5"/>
    </row>
    <row r="693" customFormat="false" ht="15" hidden="false" customHeight="false" outlineLevel="0" collapsed="false">
      <c r="A693" s="3" t="s">
        <v>482</v>
      </c>
      <c r="B693" s="3" t="s">
        <v>1222</v>
      </c>
      <c r="C693" s="3" t="s">
        <v>543</v>
      </c>
      <c r="D693" s="3" t="s">
        <v>514</v>
      </c>
      <c r="E693" s="6" t="n">
        <v>125</v>
      </c>
      <c r="F693" s="3" t="s">
        <v>512</v>
      </c>
      <c r="G693" s="5" t="n">
        <v>46240</v>
      </c>
    </row>
    <row r="694" customFormat="false" ht="15" hidden="false" customHeight="false" outlineLevel="0" collapsed="false">
      <c r="A694" s="3" t="s">
        <v>484</v>
      </c>
      <c r="B694" s="3" t="s">
        <v>1223</v>
      </c>
      <c r="C694" s="3" t="s">
        <v>548</v>
      </c>
      <c r="D694" s="3" t="s">
        <v>520</v>
      </c>
      <c r="E694" s="6"/>
      <c r="F694" s="3" t="s">
        <v>532</v>
      </c>
      <c r="G694" s="5"/>
    </row>
    <row r="695" customFormat="false" ht="15" hidden="false" customHeight="false" outlineLevel="0" collapsed="false">
      <c r="A695" s="3" t="s">
        <v>484</v>
      </c>
      <c r="B695" s="3" t="s">
        <v>1224</v>
      </c>
      <c r="C695" s="3" t="s">
        <v>543</v>
      </c>
      <c r="D695" s="3" t="s">
        <v>511</v>
      </c>
      <c r="E695" s="6"/>
      <c r="F695" s="3" t="s">
        <v>532</v>
      </c>
      <c r="G695" s="5"/>
    </row>
    <row r="696" customFormat="false" ht="15" hidden="false" customHeight="false" outlineLevel="0" collapsed="false">
      <c r="A696" s="3" t="s">
        <v>484</v>
      </c>
      <c r="B696" s="3" t="s">
        <v>1225</v>
      </c>
      <c r="C696" s="3" t="s">
        <v>524</v>
      </c>
      <c r="D696" s="3" t="s">
        <v>514</v>
      </c>
      <c r="E696" s="6" t="n">
        <v>50</v>
      </c>
      <c r="F696" s="3" t="s">
        <v>532</v>
      </c>
      <c r="G696" s="5" t="n">
        <v>46223</v>
      </c>
    </row>
    <row r="697" customFormat="false" ht="15" hidden="false" customHeight="false" outlineLevel="0" collapsed="false">
      <c r="A697" s="3" t="s">
        <v>484</v>
      </c>
      <c r="B697" s="3" t="s">
        <v>1226</v>
      </c>
      <c r="C697" s="3" t="s">
        <v>510</v>
      </c>
      <c r="D697" s="3" t="s">
        <v>514</v>
      </c>
      <c r="E697" s="6" t="n">
        <v>280</v>
      </c>
      <c r="F697" s="3" t="s">
        <v>532</v>
      </c>
      <c r="G697" s="5" t="n">
        <v>46208</v>
      </c>
    </row>
    <row r="698" customFormat="false" ht="15" hidden="false" customHeight="false" outlineLevel="0" collapsed="false">
      <c r="A698" s="3" t="s">
        <v>484</v>
      </c>
      <c r="B698" s="3" t="s">
        <v>1227</v>
      </c>
      <c r="C698" s="3" t="s">
        <v>516</v>
      </c>
      <c r="D698" s="3" t="s">
        <v>511</v>
      </c>
      <c r="E698" s="6"/>
      <c r="F698" s="3" t="s">
        <v>532</v>
      </c>
      <c r="G698" s="5"/>
    </row>
    <row r="699" customFormat="false" ht="15" hidden="false" customHeight="false" outlineLevel="0" collapsed="false">
      <c r="A699" s="3" t="s">
        <v>484</v>
      </c>
      <c r="B699" s="3" t="s">
        <v>1228</v>
      </c>
      <c r="C699" s="3" t="s">
        <v>526</v>
      </c>
      <c r="D699" s="3" t="s">
        <v>511</v>
      </c>
      <c r="E699" s="6"/>
      <c r="F699" s="3" t="s">
        <v>532</v>
      </c>
      <c r="G699" s="5"/>
    </row>
    <row r="700" customFormat="false" ht="15" hidden="false" customHeight="false" outlineLevel="0" collapsed="false">
      <c r="A700" s="3" t="s">
        <v>484</v>
      </c>
      <c r="B700" s="3" t="s">
        <v>1229</v>
      </c>
      <c r="C700" s="3" t="s">
        <v>535</v>
      </c>
      <c r="D700" s="3" t="s">
        <v>514</v>
      </c>
      <c r="E700" s="6" t="n">
        <v>360</v>
      </c>
      <c r="F700" s="3" t="s">
        <v>532</v>
      </c>
      <c r="G700" s="5" t="n">
        <v>46245</v>
      </c>
    </row>
    <row r="701" customFormat="false" ht="15" hidden="false" customHeight="false" outlineLevel="0" collapsed="false">
      <c r="A701" s="3" t="s">
        <v>484</v>
      </c>
      <c r="B701" s="3" t="s">
        <v>1230</v>
      </c>
      <c r="C701" s="3" t="s">
        <v>518</v>
      </c>
      <c r="D701" s="3" t="s">
        <v>520</v>
      </c>
      <c r="E701" s="6"/>
      <c r="F701" s="3" t="s">
        <v>532</v>
      </c>
      <c r="G701" s="5"/>
    </row>
    <row r="702" customFormat="false" ht="15" hidden="false" customHeight="false" outlineLevel="0" collapsed="false">
      <c r="A702" s="3" t="s">
        <v>485</v>
      </c>
      <c r="B702" s="3" t="s">
        <v>1231</v>
      </c>
      <c r="C702" s="3" t="s">
        <v>538</v>
      </c>
      <c r="D702" s="3" t="s">
        <v>514</v>
      </c>
      <c r="E702" s="6" t="n">
        <v>75</v>
      </c>
      <c r="F702" s="3" t="s">
        <v>512</v>
      </c>
      <c r="G702" s="5" t="n">
        <v>46258</v>
      </c>
    </row>
    <row r="703" customFormat="false" ht="15" hidden="false" customHeight="false" outlineLevel="0" collapsed="false">
      <c r="A703" s="3" t="s">
        <v>485</v>
      </c>
      <c r="B703" s="3" t="s">
        <v>1232</v>
      </c>
      <c r="C703" s="3" t="s">
        <v>564</v>
      </c>
      <c r="D703" s="3" t="s">
        <v>514</v>
      </c>
      <c r="E703" s="6" t="n">
        <v>120</v>
      </c>
      <c r="F703" s="3" t="s">
        <v>512</v>
      </c>
      <c r="G703" s="5" t="n">
        <v>46292</v>
      </c>
    </row>
    <row r="704" customFormat="false" ht="15" hidden="false" customHeight="false" outlineLevel="0" collapsed="false">
      <c r="A704" s="3" t="s">
        <v>487</v>
      </c>
      <c r="B704" s="3" t="s">
        <v>1233</v>
      </c>
      <c r="C704" s="3" t="s">
        <v>510</v>
      </c>
      <c r="D704" s="3" t="s">
        <v>514</v>
      </c>
      <c r="E704" s="6" t="n">
        <v>220</v>
      </c>
      <c r="F704" s="3" t="s">
        <v>532</v>
      </c>
      <c r="G704" s="5" t="n">
        <v>46247</v>
      </c>
    </row>
    <row r="705" customFormat="false" ht="15" hidden="false" customHeight="false" outlineLevel="0" collapsed="false">
      <c r="A705" s="3" t="s">
        <v>487</v>
      </c>
      <c r="B705" s="3" t="s">
        <v>1234</v>
      </c>
      <c r="C705" s="3" t="s">
        <v>543</v>
      </c>
      <c r="D705" s="3" t="s">
        <v>514</v>
      </c>
      <c r="E705" s="6" t="n">
        <v>440</v>
      </c>
      <c r="F705" s="3" t="s">
        <v>532</v>
      </c>
      <c r="G705" s="5" t="n">
        <v>46245</v>
      </c>
    </row>
    <row r="706" customFormat="false" ht="15" hidden="false" customHeight="false" outlineLevel="0" collapsed="false">
      <c r="A706" s="3" t="s">
        <v>487</v>
      </c>
      <c r="B706" s="3" t="s">
        <v>1235</v>
      </c>
      <c r="C706" s="3" t="s">
        <v>540</v>
      </c>
      <c r="D706" s="3" t="s">
        <v>520</v>
      </c>
      <c r="E706" s="6"/>
      <c r="F706" s="3" t="s">
        <v>532</v>
      </c>
      <c r="G706" s="5"/>
    </row>
    <row r="707" customFormat="false" ht="15" hidden="false" customHeight="false" outlineLevel="0" collapsed="false">
      <c r="A707" s="3" t="s">
        <v>487</v>
      </c>
      <c r="B707" s="3" t="s">
        <v>1236</v>
      </c>
      <c r="C707" s="3" t="s">
        <v>535</v>
      </c>
      <c r="D707" s="3" t="s">
        <v>514</v>
      </c>
      <c r="E707" s="6" t="n">
        <v>580</v>
      </c>
      <c r="F707" s="3" t="s">
        <v>532</v>
      </c>
      <c r="G707" s="5" t="n">
        <v>46229</v>
      </c>
    </row>
    <row r="708" customFormat="false" ht="15" hidden="false" customHeight="false" outlineLevel="0" collapsed="false">
      <c r="A708" s="3" t="s">
        <v>487</v>
      </c>
      <c r="B708" s="3" t="s">
        <v>1237</v>
      </c>
      <c r="C708" s="3" t="s">
        <v>526</v>
      </c>
      <c r="D708" s="3" t="s">
        <v>514</v>
      </c>
      <c r="E708" s="6" t="n">
        <v>600</v>
      </c>
      <c r="F708" s="3" t="s">
        <v>532</v>
      </c>
      <c r="G708" s="5" t="n">
        <v>46210</v>
      </c>
    </row>
    <row r="709" customFormat="false" ht="15" hidden="false" customHeight="false" outlineLevel="0" collapsed="false">
      <c r="A709" s="3" t="s">
        <v>487</v>
      </c>
      <c r="B709" s="3" t="s">
        <v>1238</v>
      </c>
      <c r="C709" s="3" t="s">
        <v>538</v>
      </c>
      <c r="D709" s="3" t="s">
        <v>514</v>
      </c>
      <c r="E709" s="6" t="n">
        <v>110</v>
      </c>
      <c r="F709" s="3" t="s">
        <v>532</v>
      </c>
      <c r="G709" s="5" t="n">
        <v>46227</v>
      </c>
    </row>
    <row r="710" customFormat="false" ht="15" hidden="false" customHeight="false" outlineLevel="0" collapsed="false">
      <c r="A710" s="3" t="s">
        <v>488</v>
      </c>
      <c r="B710" s="3" t="s">
        <v>1239</v>
      </c>
      <c r="C710" s="3" t="s">
        <v>526</v>
      </c>
      <c r="D710" s="3" t="s">
        <v>514</v>
      </c>
      <c r="E710" s="6" t="n">
        <v>25</v>
      </c>
      <c r="F710" s="3" t="s">
        <v>512</v>
      </c>
      <c r="G710" s="5" t="n">
        <v>46227</v>
      </c>
    </row>
    <row r="711" customFormat="false" ht="15" hidden="false" customHeight="false" outlineLevel="0" collapsed="false">
      <c r="A711" s="3" t="s">
        <v>488</v>
      </c>
      <c r="B711" s="3" t="s">
        <v>1240</v>
      </c>
      <c r="C711" s="3" t="s">
        <v>535</v>
      </c>
      <c r="D711" s="3" t="s">
        <v>514</v>
      </c>
      <c r="E711" s="6" t="n">
        <v>20</v>
      </c>
      <c r="F711" s="3" t="s">
        <v>512</v>
      </c>
      <c r="G711" s="5" t="n">
        <v>46220</v>
      </c>
    </row>
    <row r="712" customFormat="false" ht="15" hidden="false" customHeight="false" outlineLevel="0" collapsed="false">
      <c r="A712" s="3" t="s">
        <v>488</v>
      </c>
      <c r="B712" s="3" t="s">
        <v>1241</v>
      </c>
      <c r="C712" s="3" t="s">
        <v>529</v>
      </c>
      <c r="D712" s="3" t="s">
        <v>514</v>
      </c>
      <c r="E712" s="6" t="n">
        <v>115</v>
      </c>
      <c r="F712" s="3" t="s">
        <v>512</v>
      </c>
      <c r="G712" s="5" t="n">
        <v>46244</v>
      </c>
    </row>
    <row r="713" customFormat="false" ht="15" hidden="false" customHeight="false" outlineLevel="0" collapsed="false">
      <c r="A713" s="3" t="s">
        <v>490</v>
      </c>
      <c r="B713" s="3" t="s">
        <v>1242</v>
      </c>
      <c r="C713" s="3" t="s">
        <v>531</v>
      </c>
      <c r="D713" s="3" t="s">
        <v>514</v>
      </c>
      <c r="E713" s="6" t="n">
        <v>25</v>
      </c>
      <c r="F713" s="3" t="s">
        <v>512</v>
      </c>
      <c r="G713" s="5" t="n">
        <v>46259</v>
      </c>
    </row>
    <row r="714" customFormat="false" ht="15" hidden="false" customHeight="false" outlineLevel="0" collapsed="false">
      <c r="A714" s="3" t="s">
        <v>490</v>
      </c>
      <c r="B714" s="3" t="s">
        <v>1243</v>
      </c>
      <c r="C714" s="3" t="s">
        <v>548</v>
      </c>
      <c r="D714" s="3" t="s">
        <v>520</v>
      </c>
      <c r="E714" s="6"/>
      <c r="F714" s="3" t="s">
        <v>512</v>
      </c>
      <c r="G714" s="5"/>
    </row>
    <row r="715" customFormat="false" ht="15" hidden="false" customHeight="false" outlineLevel="0" collapsed="false">
      <c r="A715" s="3" t="s">
        <v>490</v>
      </c>
      <c r="B715" s="3" t="s">
        <v>1244</v>
      </c>
      <c r="C715" s="3" t="s">
        <v>535</v>
      </c>
      <c r="D715" s="3" t="s">
        <v>514</v>
      </c>
      <c r="E715" s="6" t="n">
        <v>45</v>
      </c>
      <c r="F715" s="3" t="s">
        <v>512</v>
      </c>
      <c r="G715" s="5" t="n">
        <v>46223</v>
      </c>
    </row>
    <row r="716" customFormat="false" ht="15" hidden="false" customHeight="false" outlineLevel="0" collapsed="false">
      <c r="A716" s="3" t="s">
        <v>490</v>
      </c>
      <c r="B716" s="3" t="s">
        <v>1245</v>
      </c>
      <c r="C716" s="3" t="s">
        <v>516</v>
      </c>
      <c r="D716" s="3" t="s">
        <v>514</v>
      </c>
      <c r="E716" s="6" t="n">
        <v>165</v>
      </c>
      <c r="F716" s="3" t="s">
        <v>512</v>
      </c>
      <c r="G716" s="5" t="n">
        <v>46271</v>
      </c>
    </row>
    <row r="717" customFormat="false" ht="15" hidden="false" customHeight="false" outlineLevel="0" collapsed="false">
      <c r="A717" s="3" t="s">
        <v>490</v>
      </c>
      <c r="B717" s="3" t="s">
        <v>1246</v>
      </c>
      <c r="C717" s="3" t="s">
        <v>518</v>
      </c>
      <c r="D717" s="3" t="s">
        <v>514</v>
      </c>
      <c r="E717" s="6" t="n">
        <v>115</v>
      </c>
      <c r="F717" s="3" t="s">
        <v>512</v>
      </c>
      <c r="G717" s="5" t="n">
        <v>46241</v>
      </c>
    </row>
    <row r="718" customFormat="false" ht="15" hidden="false" customHeight="false" outlineLevel="0" collapsed="false">
      <c r="A718" s="3" t="s">
        <v>492</v>
      </c>
      <c r="B718" s="3" t="s">
        <v>1247</v>
      </c>
      <c r="C718" s="3" t="s">
        <v>540</v>
      </c>
      <c r="D718" s="3" t="s">
        <v>514</v>
      </c>
      <c r="E718" s="6" t="n">
        <v>95</v>
      </c>
      <c r="F718" s="3" t="s">
        <v>597</v>
      </c>
      <c r="G718" s="5" t="n">
        <v>46253</v>
      </c>
    </row>
    <row r="719" customFormat="false" ht="15" hidden="false" customHeight="false" outlineLevel="0" collapsed="false">
      <c r="A719" s="3" t="s">
        <v>492</v>
      </c>
      <c r="B719" s="3" t="s">
        <v>1248</v>
      </c>
      <c r="C719" s="3" t="s">
        <v>564</v>
      </c>
      <c r="D719" s="3" t="s">
        <v>514</v>
      </c>
      <c r="E719" s="6" t="n">
        <v>170</v>
      </c>
      <c r="F719" s="3" t="s">
        <v>597</v>
      </c>
      <c r="G719" s="5" t="n">
        <v>46274</v>
      </c>
    </row>
    <row r="720" customFormat="false" ht="15" hidden="false" customHeight="false" outlineLevel="0" collapsed="false">
      <c r="A720" s="3" t="s">
        <v>492</v>
      </c>
      <c r="B720" s="3" t="s">
        <v>1249</v>
      </c>
      <c r="C720" s="3" t="s">
        <v>526</v>
      </c>
      <c r="D720" s="3" t="s">
        <v>520</v>
      </c>
      <c r="E720" s="6"/>
      <c r="F720" s="3" t="s">
        <v>597</v>
      </c>
      <c r="G720" s="5"/>
    </row>
    <row r="721" customFormat="false" ht="15" hidden="false" customHeight="false" outlineLevel="0" collapsed="false">
      <c r="A721" s="3" t="s">
        <v>492</v>
      </c>
      <c r="B721" s="3" t="s">
        <v>1250</v>
      </c>
      <c r="C721" s="3" t="s">
        <v>524</v>
      </c>
      <c r="D721" s="3" t="s">
        <v>511</v>
      </c>
      <c r="E721" s="6"/>
      <c r="F721" s="3" t="s">
        <v>597</v>
      </c>
      <c r="G721" s="5"/>
    </row>
    <row r="722" customFormat="false" ht="15" hidden="false" customHeight="false" outlineLevel="0" collapsed="false">
      <c r="A722" s="3" t="s">
        <v>493</v>
      </c>
      <c r="B722" s="3" t="s">
        <v>1251</v>
      </c>
      <c r="C722" s="3" t="s">
        <v>526</v>
      </c>
      <c r="D722" s="3" t="s">
        <v>514</v>
      </c>
      <c r="E722" s="6" t="n">
        <v>65</v>
      </c>
      <c r="F722" s="3" t="s">
        <v>512</v>
      </c>
      <c r="G722" s="5" t="n">
        <v>46233</v>
      </c>
    </row>
    <row r="723" customFormat="false" ht="15" hidden="false" customHeight="false" outlineLevel="0" collapsed="false">
      <c r="A723" s="3" t="s">
        <v>493</v>
      </c>
      <c r="B723" s="3" t="s">
        <v>1252</v>
      </c>
      <c r="C723" s="3" t="s">
        <v>529</v>
      </c>
      <c r="D723" s="3" t="s">
        <v>520</v>
      </c>
      <c r="E723" s="6"/>
      <c r="F723" s="3" t="s">
        <v>512</v>
      </c>
      <c r="G723" s="5"/>
    </row>
    <row r="724" customFormat="false" ht="15" hidden="false" customHeight="false" outlineLevel="0" collapsed="false">
      <c r="A724" s="3" t="s">
        <v>493</v>
      </c>
      <c r="B724" s="3" t="s">
        <v>1253</v>
      </c>
      <c r="C724" s="3" t="s">
        <v>575</v>
      </c>
      <c r="D724" s="3" t="s">
        <v>520</v>
      </c>
      <c r="E724" s="6"/>
      <c r="F724" s="3" t="s">
        <v>512</v>
      </c>
      <c r="G724" s="5"/>
    </row>
    <row r="725" customFormat="false" ht="15" hidden="false" customHeight="false" outlineLevel="0" collapsed="false">
      <c r="A725" s="3" t="s">
        <v>493</v>
      </c>
      <c r="B725" s="3" t="s">
        <v>1254</v>
      </c>
      <c r="C725" s="3" t="s">
        <v>516</v>
      </c>
      <c r="D725" s="3" t="s">
        <v>514</v>
      </c>
      <c r="E725" s="6" t="n">
        <v>145</v>
      </c>
      <c r="F725" s="3" t="s">
        <v>512</v>
      </c>
      <c r="G725" s="5" t="n">
        <v>46254</v>
      </c>
    </row>
    <row r="726" customFormat="false" ht="15" hidden="false" customHeight="false" outlineLevel="0" collapsed="false">
      <c r="A726" s="3" t="s">
        <v>493</v>
      </c>
      <c r="B726" s="3" t="s">
        <v>1255</v>
      </c>
      <c r="C726" s="3" t="s">
        <v>522</v>
      </c>
      <c r="D726" s="3" t="s">
        <v>514</v>
      </c>
      <c r="E726" s="6" t="n">
        <v>115</v>
      </c>
      <c r="F726" s="3" t="s">
        <v>512</v>
      </c>
      <c r="G726" s="5" t="n">
        <v>46220</v>
      </c>
    </row>
    <row r="727" customFormat="false" ht="15" hidden="false" customHeight="false" outlineLevel="0" collapsed="false">
      <c r="A727" s="3" t="s">
        <v>493</v>
      </c>
      <c r="B727" s="3" t="s">
        <v>1256</v>
      </c>
      <c r="C727" s="3" t="s">
        <v>538</v>
      </c>
      <c r="D727" s="3" t="s">
        <v>520</v>
      </c>
      <c r="E727" s="6"/>
      <c r="F727" s="3" t="s">
        <v>512</v>
      </c>
      <c r="G727" s="5"/>
    </row>
    <row r="728" customFormat="false" ht="15" hidden="false" customHeight="false" outlineLevel="0" collapsed="false">
      <c r="A728" s="3" t="s">
        <v>495</v>
      </c>
      <c r="B728" s="3" t="s">
        <v>1257</v>
      </c>
      <c r="C728" s="3" t="s">
        <v>524</v>
      </c>
      <c r="D728" s="3" t="s">
        <v>514</v>
      </c>
      <c r="E728" s="6" t="n">
        <v>165</v>
      </c>
      <c r="F728" s="3" t="s">
        <v>512</v>
      </c>
      <c r="G728" s="5" t="n">
        <v>46219</v>
      </c>
    </row>
    <row r="729" customFormat="false" ht="15" hidden="false" customHeight="false" outlineLevel="0" collapsed="false">
      <c r="A729" s="3" t="s">
        <v>496</v>
      </c>
      <c r="B729" s="3" t="s">
        <v>1258</v>
      </c>
      <c r="C729" s="3" t="s">
        <v>518</v>
      </c>
      <c r="D729" s="3" t="s">
        <v>520</v>
      </c>
      <c r="E729" s="6"/>
      <c r="F729" s="3" t="s">
        <v>512</v>
      </c>
      <c r="G729" s="5"/>
    </row>
    <row r="730" customFormat="false" ht="15" hidden="false" customHeight="false" outlineLevel="0" collapsed="false">
      <c r="A730" s="3" t="s">
        <v>496</v>
      </c>
      <c r="B730" s="3" t="s">
        <v>1259</v>
      </c>
      <c r="C730" s="3" t="s">
        <v>564</v>
      </c>
      <c r="D730" s="3" t="s">
        <v>514</v>
      </c>
      <c r="E730" s="6" t="n">
        <v>55</v>
      </c>
      <c r="F730" s="3" t="s">
        <v>512</v>
      </c>
      <c r="G730" s="5" t="n">
        <v>46301</v>
      </c>
    </row>
    <row r="731" customFormat="false" ht="15" hidden="false" customHeight="false" outlineLevel="0" collapsed="false">
      <c r="A731" s="3" t="s">
        <v>498</v>
      </c>
      <c r="B731" s="3" t="s">
        <v>1260</v>
      </c>
      <c r="C731" s="3" t="s">
        <v>510</v>
      </c>
      <c r="D731" s="3" t="s">
        <v>514</v>
      </c>
      <c r="E731" s="6" t="n">
        <v>90</v>
      </c>
      <c r="F731" s="3" t="s">
        <v>532</v>
      </c>
      <c r="G731" s="5" t="n">
        <v>46244</v>
      </c>
    </row>
    <row r="732" customFormat="false" ht="15" hidden="false" customHeight="false" outlineLevel="0" collapsed="false">
      <c r="A732" s="3" t="s">
        <v>499</v>
      </c>
      <c r="B732" s="3" t="s">
        <v>1261</v>
      </c>
      <c r="C732" s="3" t="s">
        <v>531</v>
      </c>
      <c r="D732" s="3" t="s">
        <v>511</v>
      </c>
      <c r="E732" s="6"/>
      <c r="F732" s="3" t="s">
        <v>512</v>
      </c>
      <c r="G732" s="5"/>
    </row>
    <row r="733" customFormat="false" ht="15" hidden="false" customHeight="false" outlineLevel="0" collapsed="false">
      <c r="A733" s="3" t="s">
        <v>499</v>
      </c>
      <c r="B733" s="3" t="s">
        <v>1262</v>
      </c>
      <c r="C733" s="3" t="s">
        <v>552</v>
      </c>
      <c r="D733" s="3" t="s">
        <v>514</v>
      </c>
      <c r="E733" s="6" t="n">
        <v>140</v>
      </c>
      <c r="F733" s="3" t="s">
        <v>512</v>
      </c>
      <c r="G733" s="5" t="n">
        <v>46246</v>
      </c>
    </row>
    <row r="734" customFormat="false" ht="15" hidden="false" customHeight="false" outlineLevel="0" collapsed="false">
      <c r="A734" s="3" t="s">
        <v>499</v>
      </c>
      <c r="B734" s="3" t="s">
        <v>1263</v>
      </c>
      <c r="C734" s="3" t="s">
        <v>529</v>
      </c>
      <c r="D734" s="3" t="s">
        <v>520</v>
      </c>
      <c r="E734" s="6"/>
      <c r="F734" s="3" t="s">
        <v>512</v>
      </c>
      <c r="G734" s="5"/>
    </row>
    <row r="735" customFormat="false" ht="15" hidden="false" customHeight="false" outlineLevel="0" collapsed="false">
      <c r="A735" s="3" t="s">
        <v>501</v>
      </c>
      <c r="B735" s="3" t="s">
        <v>1264</v>
      </c>
      <c r="C735" s="3" t="s">
        <v>552</v>
      </c>
      <c r="D735" s="3" t="s">
        <v>514</v>
      </c>
      <c r="E735" s="6" t="n">
        <v>15</v>
      </c>
      <c r="F735" s="3" t="s">
        <v>512</v>
      </c>
      <c r="G735" s="5" t="n">
        <v>46229</v>
      </c>
    </row>
    <row r="736" customFormat="false" ht="15" hidden="false" customHeight="false" outlineLevel="0" collapsed="false">
      <c r="A736" s="3" t="s">
        <v>501</v>
      </c>
      <c r="B736" s="3" t="s">
        <v>1265</v>
      </c>
      <c r="C736" s="3" t="s">
        <v>575</v>
      </c>
      <c r="D736" s="3" t="s">
        <v>514</v>
      </c>
      <c r="E736" s="6" t="n">
        <v>200</v>
      </c>
      <c r="F736" s="3" t="s">
        <v>512</v>
      </c>
      <c r="G736" s="5" t="n">
        <v>46194</v>
      </c>
    </row>
    <row r="737" customFormat="false" ht="15" hidden="false" customHeight="false" outlineLevel="0" collapsed="false">
      <c r="A737" s="3" t="s">
        <v>501</v>
      </c>
      <c r="B737" s="3" t="s">
        <v>1266</v>
      </c>
      <c r="C737" s="3" t="s">
        <v>522</v>
      </c>
      <c r="D737" s="3" t="s">
        <v>520</v>
      </c>
      <c r="E737" s="6"/>
      <c r="F737" s="3" t="s">
        <v>512</v>
      </c>
      <c r="G737" s="5"/>
    </row>
    <row r="738" customFormat="false" ht="15" hidden="false" customHeight="false" outlineLevel="0" collapsed="false">
      <c r="A738" s="3" t="s">
        <v>501</v>
      </c>
      <c r="B738" s="3" t="s">
        <v>1267</v>
      </c>
      <c r="C738" s="3" t="s">
        <v>516</v>
      </c>
      <c r="D738" s="3" t="s">
        <v>514</v>
      </c>
      <c r="E738" s="6" t="n">
        <v>65</v>
      </c>
      <c r="F738" s="3" t="s">
        <v>512</v>
      </c>
      <c r="G738" s="5" t="n">
        <v>46246</v>
      </c>
    </row>
    <row r="739" customFormat="false" ht="15" hidden="false" customHeight="false" outlineLevel="0" collapsed="false">
      <c r="A739" s="3" t="s">
        <v>502</v>
      </c>
      <c r="B739" s="3" t="s">
        <v>1268</v>
      </c>
      <c r="C739" s="3" t="s">
        <v>531</v>
      </c>
      <c r="D739" s="3" t="s">
        <v>520</v>
      </c>
      <c r="E739" s="6"/>
      <c r="F739" s="3" t="s">
        <v>597</v>
      </c>
      <c r="G739" s="5"/>
    </row>
    <row r="740" customFormat="false" ht="15" hidden="false" customHeight="false" outlineLevel="0" collapsed="false">
      <c r="A740" s="3" t="s">
        <v>502</v>
      </c>
      <c r="B740" s="3" t="s">
        <v>1269</v>
      </c>
      <c r="C740" s="3" t="s">
        <v>535</v>
      </c>
      <c r="D740" s="3" t="s">
        <v>514</v>
      </c>
      <c r="E740" s="6" t="n">
        <v>10</v>
      </c>
      <c r="F740" s="3" t="s">
        <v>597</v>
      </c>
      <c r="G740" s="5" t="n">
        <v>46255</v>
      </c>
    </row>
    <row r="741" customFormat="false" ht="15" hidden="false" customHeight="false" outlineLevel="0" collapsed="false">
      <c r="A741" s="3" t="s">
        <v>502</v>
      </c>
      <c r="B741" s="3" t="s">
        <v>1270</v>
      </c>
      <c r="C741" s="3" t="s">
        <v>564</v>
      </c>
      <c r="D741" s="3" t="s">
        <v>514</v>
      </c>
      <c r="E741" s="6" t="n">
        <v>35</v>
      </c>
      <c r="F741" s="3" t="s">
        <v>597</v>
      </c>
      <c r="G741" s="5" t="n">
        <v>46243</v>
      </c>
    </row>
    <row r="742" customFormat="false" ht="15" hidden="false" customHeight="false" outlineLevel="0" collapsed="false">
      <c r="A742" s="3" t="s">
        <v>502</v>
      </c>
      <c r="B742" s="3" t="s">
        <v>1271</v>
      </c>
      <c r="C742" s="3" t="s">
        <v>552</v>
      </c>
      <c r="D742" s="3" t="s">
        <v>514</v>
      </c>
      <c r="E742" s="6" t="n">
        <v>175</v>
      </c>
      <c r="F742" s="3" t="s">
        <v>597</v>
      </c>
      <c r="G742" s="5" t="n">
        <v>46225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3" min="3" style="0" width="18"/>
    <col collapsed="false" customWidth="true" hidden="false" outlineLevel="0" max="4" min="4" style="0" width="9"/>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9" min="8" style="0" width="14"/>
  </cols>
  <sheetData>
    <row r="1" customFormat="false" ht="30" hidden="false" customHeight="true" outlineLevel="0" collapsed="false">
      <c r="A1" s="1" t="s">
        <v>1272</v>
      </c>
      <c r="B1" s="1" t="s">
        <v>1273</v>
      </c>
      <c r="C1" s="1" t="s">
        <v>1274</v>
      </c>
      <c r="D1" s="1" t="s">
        <v>1275</v>
      </c>
      <c r="E1" s="1" t="s">
        <v>2</v>
      </c>
      <c r="F1" s="1" t="s">
        <v>1276</v>
      </c>
      <c r="G1" s="1" t="s">
        <v>1277</v>
      </c>
      <c r="H1" s="1" t="s">
        <v>503</v>
      </c>
      <c r="I1" s="1" t="s">
        <v>504</v>
      </c>
    </row>
    <row r="2" customFormat="false" ht="15" hidden="false" customHeight="false" outlineLevel="0" collapsed="false">
      <c r="A2" s="3" t="s">
        <v>1278</v>
      </c>
      <c r="B2" s="3" t="s">
        <v>1279</v>
      </c>
      <c r="C2" s="3" t="s">
        <v>1280</v>
      </c>
      <c r="D2" s="3" t="s">
        <v>1281</v>
      </c>
      <c r="E2" s="3" t="s">
        <v>24</v>
      </c>
      <c r="F2" s="3" t="s">
        <v>1282</v>
      </c>
      <c r="G2" s="3" t="s">
        <v>22</v>
      </c>
      <c r="H2" s="3" t="s">
        <v>509</v>
      </c>
      <c r="I2" s="3" t="s">
        <v>510</v>
      </c>
    </row>
    <row r="3" customFormat="false" ht="15" hidden="false" customHeight="false" outlineLevel="0" collapsed="false">
      <c r="A3" s="3" t="s">
        <v>1283</v>
      </c>
      <c r="B3" s="3" t="s">
        <v>1284</v>
      </c>
      <c r="C3" s="3" t="s">
        <v>1285</v>
      </c>
      <c r="D3" s="3" t="s">
        <v>1286</v>
      </c>
      <c r="E3" s="3" t="s">
        <v>24</v>
      </c>
      <c r="F3" s="3" t="s">
        <v>1287</v>
      </c>
      <c r="G3" s="3" t="s">
        <v>22</v>
      </c>
      <c r="H3" s="3" t="s">
        <v>509</v>
      </c>
      <c r="I3" s="3" t="s">
        <v>510</v>
      </c>
    </row>
    <row r="4" customFormat="false" ht="15" hidden="false" customHeight="false" outlineLevel="0" collapsed="false">
      <c r="A4" s="3" t="s">
        <v>1288</v>
      </c>
      <c r="B4" s="3" t="s">
        <v>1289</v>
      </c>
      <c r="C4" s="3" t="s">
        <v>1290</v>
      </c>
      <c r="D4" s="3" t="s">
        <v>1286</v>
      </c>
      <c r="E4" s="3" t="s">
        <v>24</v>
      </c>
      <c r="F4" s="3" t="s">
        <v>1282</v>
      </c>
      <c r="G4" s="3" t="s">
        <v>38</v>
      </c>
      <c r="H4" s="3" t="s">
        <v>513</v>
      </c>
      <c r="I4" s="3" t="s">
        <v>510</v>
      </c>
    </row>
    <row r="5" customFormat="false" ht="15" hidden="false" customHeight="false" outlineLevel="0" collapsed="false">
      <c r="A5" s="3" t="s">
        <v>1291</v>
      </c>
      <c r="B5" s="3" t="s">
        <v>1292</v>
      </c>
      <c r="C5" s="3" t="s">
        <v>1293</v>
      </c>
      <c r="D5" s="3" t="s">
        <v>1286</v>
      </c>
      <c r="E5" s="3" t="s">
        <v>24</v>
      </c>
      <c r="F5" s="3" t="s">
        <v>1282</v>
      </c>
      <c r="G5" s="3" t="s">
        <v>50</v>
      </c>
      <c r="H5" s="3" t="s">
        <v>515</v>
      </c>
      <c r="I5" s="3" t="s">
        <v>516</v>
      </c>
    </row>
    <row r="6" customFormat="false" ht="15" hidden="false" customHeight="false" outlineLevel="0" collapsed="false">
      <c r="A6" s="3" t="s">
        <v>1294</v>
      </c>
      <c r="B6" s="3" t="s">
        <v>1295</v>
      </c>
      <c r="C6" s="3" t="s">
        <v>1293</v>
      </c>
      <c r="D6" s="3" t="s">
        <v>1286</v>
      </c>
      <c r="E6" s="3" t="s">
        <v>24</v>
      </c>
      <c r="F6" s="3" t="s">
        <v>1287</v>
      </c>
      <c r="G6" s="3" t="s">
        <v>50</v>
      </c>
      <c r="H6" s="3" t="s">
        <v>515</v>
      </c>
      <c r="I6" s="3" t="s">
        <v>516</v>
      </c>
    </row>
    <row r="7" customFormat="false" ht="15" hidden="false" customHeight="false" outlineLevel="0" collapsed="false">
      <c r="A7" s="3" t="s">
        <v>1296</v>
      </c>
      <c r="B7" s="3" t="s">
        <v>1297</v>
      </c>
      <c r="C7" s="3" t="s">
        <v>1298</v>
      </c>
      <c r="D7" s="3" t="s">
        <v>1286</v>
      </c>
      <c r="E7" s="3" t="s">
        <v>24</v>
      </c>
      <c r="F7" s="3" t="s">
        <v>1282</v>
      </c>
      <c r="G7" s="3" t="s">
        <v>60</v>
      </c>
      <c r="H7" s="3" t="s">
        <v>519</v>
      </c>
      <c r="I7" s="3" t="s">
        <v>516</v>
      </c>
    </row>
    <row r="8" customFormat="false" ht="15" hidden="false" customHeight="false" outlineLevel="0" collapsed="false">
      <c r="A8" s="3" t="s">
        <v>1299</v>
      </c>
      <c r="B8" s="3" t="s">
        <v>1297</v>
      </c>
      <c r="C8" s="3" t="s">
        <v>1298</v>
      </c>
      <c r="D8" s="3" t="s">
        <v>1286</v>
      </c>
      <c r="E8" s="3" t="s">
        <v>24</v>
      </c>
      <c r="F8" s="3" t="s">
        <v>1282</v>
      </c>
      <c r="G8" s="3" t="s">
        <v>60</v>
      </c>
      <c r="H8" s="3" t="s">
        <v>517</v>
      </c>
      <c r="I8" s="3" t="s">
        <v>518</v>
      </c>
    </row>
    <row r="9" customFormat="false" ht="15" hidden="false" customHeight="false" outlineLevel="0" collapsed="false">
      <c r="A9" s="3" t="s">
        <v>1300</v>
      </c>
      <c r="B9" s="3" t="s">
        <v>1301</v>
      </c>
      <c r="C9" s="3" t="s">
        <v>1302</v>
      </c>
      <c r="D9" s="3" t="s">
        <v>1286</v>
      </c>
      <c r="E9" s="3" t="s">
        <v>24</v>
      </c>
      <c r="F9" s="3" t="s">
        <v>1282</v>
      </c>
      <c r="G9" s="3" t="s">
        <v>69</v>
      </c>
      <c r="H9" s="3" t="s">
        <v>523</v>
      </c>
      <c r="I9" s="3" t="s">
        <v>524</v>
      </c>
    </row>
    <row r="10" customFormat="false" ht="15" hidden="false" customHeight="false" outlineLevel="0" collapsed="false">
      <c r="A10" s="3" t="s">
        <v>1303</v>
      </c>
      <c r="B10" s="3" t="s">
        <v>1304</v>
      </c>
      <c r="C10" s="3" t="s">
        <v>1305</v>
      </c>
      <c r="D10" s="3" t="s">
        <v>1286</v>
      </c>
      <c r="E10" s="3" t="s">
        <v>24</v>
      </c>
      <c r="F10" s="3" t="s">
        <v>1306</v>
      </c>
      <c r="G10" s="3" t="s">
        <v>69</v>
      </c>
      <c r="H10" s="3" t="s">
        <v>521</v>
      </c>
      <c r="I10" s="3" t="s">
        <v>522</v>
      </c>
    </row>
    <row r="11" customFormat="false" ht="15" hidden="false" customHeight="false" outlineLevel="0" collapsed="false">
      <c r="A11" s="3" t="s">
        <v>1307</v>
      </c>
      <c r="B11" s="3" t="s">
        <v>1304</v>
      </c>
      <c r="C11" s="3" t="s">
        <v>1305</v>
      </c>
      <c r="D11" s="3" t="s">
        <v>1286</v>
      </c>
      <c r="E11" s="3" t="s">
        <v>24</v>
      </c>
      <c r="F11" s="3" t="s">
        <v>1306</v>
      </c>
      <c r="G11" s="3" t="s">
        <v>69</v>
      </c>
      <c r="H11" s="3" t="s">
        <v>523</v>
      </c>
      <c r="I11" s="3" t="s">
        <v>524</v>
      </c>
    </row>
    <row r="12" customFormat="false" ht="15" hidden="false" customHeight="false" outlineLevel="0" collapsed="false">
      <c r="A12" s="3" t="s">
        <v>1308</v>
      </c>
      <c r="B12" s="3" t="s">
        <v>1309</v>
      </c>
      <c r="C12" s="3" t="s">
        <v>1310</v>
      </c>
      <c r="D12" s="3" t="s">
        <v>1281</v>
      </c>
      <c r="E12" s="3" t="s">
        <v>24</v>
      </c>
      <c r="F12" s="3" t="s">
        <v>1282</v>
      </c>
      <c r="G12" s="3" t="s">
        <v>77</v>
      </c>
      <c r="H12" s="3" t="s">
        <v>528</v>
      </c>
      <c r="I12" s="3" t="s">
        <v>529</v>
      </c>
    </row>
    <row r="13" customFormat="false" ht="15" hidden="false" customHeight="false" outlineLevel="0" collapsed="false">
      <c r="A13" s="3" t="s">
        <v>1311</v>
      </c>
      <c r="B13" s="3" t="s">
        <v>1309</v>
      </c>
      <c r="C13" s="3" t="s">
        <v>1310</v>
      </c>
      <c r="D13" s="3" t="s">
        <v>1281</v>
      </c>
      <c r="E13" s="3" t="s">
        <v>24</v>
      </c>
      <c r="F13" s="3" t="s">
        <v>1282</v>
      </c>
      <c r="G13" s="3" t="s">
        <v>77</v>
      </c>
      <c r="H13" s="3" t="s">
        <v>525</v>
      </c>
      <c r="I13" s="3" t="s">
        <v>526</v>
      </c>
    </row>
    <row r="14" customFormat="false" ht="15" hidden="false" customHeight="false" outlineLevel="0" collapsed="false">
      <c r="A14" s="3" t="s">
        <v>1312</v>
      </c>
      <c r="B14" s="3" t="s">
        <v>1313</v>
      </c>
      <c r="C14" s="3" t="s">
        <v>1314</v>
      </c>
      <c r="D14" s="3" t="s">
        <v>1286</v>
      </c>
      <c r="E14" s="3" t="s">
        <v>24</v>
      </c>
      <c r="F14" s="3" t="s">
        <v>1306</v>
      </c>
      <c r="G14" s="3" t="s">
        <v>82</v>
      </c>
      <c r="H14" s="3" t="s">
        <v>530</v>
      </c>
      <c r="I14" s="3" t="s">
        <v>531</v>
      </c>
    </row>
    <row r="15" customFormat="false" ht="15" hidden="false" customHeight="false" outlineLevel="0" collapsed="false">
      <c r="A15" s="3" t="s">
        <v>1315</v>
      </c>
      <c r="B15" s="3" t="s">
        <v>1316</v>
      </c>
      <c r="C15" s="3" t="s">
        <v>1285</v>
      </c>
      <c r="D15" s="3" t="s">
        <v>1286</v>
      </c>
      <c r="E15" s="3" t="s">
        <v>24</v>
      </c>
      <c r="F15" s="3" t="s">
        <v>1306</v>
      </c>
      <c r="G15" s="3" t="s">
        <v>93</v>
      </c>
      <c r="H15" s="3" t="s">
        <v>534</v>
      </c>
      <c r="I15" s="3" t="s">
        <v>535</v>
      </c>
    </row>
    <row r="16" customFormat="false" ht="15" hidden="false" customHeight="false" outlineLevel="0" collapsed="false">
      <c r="A16" s="3" t="s">
        <v>1317</v>
      </c>
      <c r="B16" s="3" t="s">
        <v>1318</v>
      </c>
      <c r="C16" s="3" t="s">
        <v>1319</v>
      </c>
      <c r="D16" s="3" t="s">
        <v>1286</v>
      </c>
      <c r="E16" s="3" t="s">
        <v>24</v>
      </c>
      <c r="F16" s="3" t="s">
        <v>1306</v>
      </c>
      <c r="G16" s="3" t="s">
        <v>97</v>
      </c>
      <c r="H16" s="3" t="s">
        <v>541</v>
      </c>
      <c r="I16" s="3" t="s">
        <v>526</v>
      </c>
    </row>
    <row r="17" customFormat="false" ht="15" hidden="false" customHeight="false" outlineLevel="0" collapsed="false">
      <c r="A17" s="3" t="s">
        <v>1320</v>
      </c>
      <c r="B17" s="3" t="s">
        <v>1318</v>
      </c>
      <c r="C17" s="3" t="s">
        <v>1319</v>
      </c>
      <c r="D17" s="3" t="s">
        <v>1286</v>
      </c>
      <c r="E17" s="3" t="s">
        <v>24</v>
      </c>
      <c r="F17" s="3" t="s">
        <v>1306</v>
      </c>
      <c r="G17" s="3" t="s">
        <v>97</v>
      </c>
      <c r="H17" s="3" t="s">
        <v>536</v>
      </c>
      <c r="I17" s="3" t="s">
        <v>522</v>
      </c>
    </row>
    <row r="18" customFormat="false" ht="15" hidden="false" customHeight="false" outlineLevel="0" collapsed="false">
      <c r="A18" s="3" t="s">
        <v>1321</v>
      </c>
      <c r="B18" s="3" t="s">
        <v>1322</v>
      </c>
      <c r="C18" s="3" t="s">
        <v>1323</v>
      </c>
      <c r="D18" s="3" t="s">
        <v>1281</v>
      </c>
      <c r="E18" s="3" t="s">
        <v>24</v>
      </c>
      <c r="F18" s="3" t="s">
        <v>1306</v>
      </c>
      <c r="G18" s="3" t="s">
        <v>97</v>
      </c>
      <c r="H18" s="3" t="s">
        <v>536</v>
      </c>
      <c r="I18" s="3" t="s">
        <v>522</v>
      </c>
    </row>
    <row r="19" customFormat="false" ht="15" hidden="false" customHeight="false" outlineLevel="0" collapsed="false">
      <c r="A19" s="3" t="s">
        <v>1324</v>
      </c>
      <c r="B19" s="3" t="s">
        <v>1322</v>
      </c>
      <c r="C19" s="3" t="s">
        <v>1323</v>
      </c>
      <c r="D19" s="3" t="s">
        <v>1281</v>
      </c>
      <c r="E19" s="3" t="s">
        <v>24</v>
      </c>
      <c r="F19" s="3" t="s">
        <v>1306</v>
      </c>
      <c r="G19" s="3" t="s">
        <v>97</v>
      </c>
      <c r="H19" s="3" t="s">
        <v>539</v>
      </c>
      <c r="I19" s="3" t="s">
        <v>540</v>
      </c>
    </row>
    <row r="20" customFormat="false" ht="15" hidden="false" customHeight="false" outlineLevel="0" collapsed="false">
      <c r="A20" s="3" t="s">
        <v>1325</v>
      </c>
      <c r="B20" s="3" t="s">
        <v>1326</v>
      </c>
      <c r="C20" s="3" t="s">
        <v>1327</v>
      </c>
      <c r="D20" s="3" t="s">
        <v>1286</v>
      </c>
      <c r="E20" s="3" t="s">
        <v>24</v>
      </c>
      <c r="F20" s="3" t="s">
        <v>1306</v>
      </c>
      <c r="G20" s="3" t="s">
        <v>108</v>
      </c>
      <c r="H20" s="3" t="s">
        <v>549</v>
      </c>
      <c r="I20" s="3" t="s">
        <v>518</v>
      </c>
    </row>
    <row r="21" customFormat="false" ht="15" hidden="false" customHeight="false" outlineLevel="0" collapsed="false">
      <c r="A21" s="3" t="s">
        <v>1328</v>
      </c>
      <c r="B21" s="3" t="s">
        <v>1329</v>
      </c>
      <c r="C21" s="3" t="s">
        <v>1314</v>
      </c>
      <c r="D21" s="3" t="s">
        <v>1281</v>
      </c>
      <c r="E21" s="3" t="s">
        <v>24</v>
      </c>
      <c r="F21" s="3" t="s">
        <v>1330</v>
      </c>
      <c r="G21" s="3" t="s">
        <v>114</v>
      </c>
      <c r="H21" s="3" t="s">
        <v>550</v>
      </c>
      <c r="I21" s="3" t="s">
        <v>543</v>
      </c>
    </row>
    <row r="22" customFormat="false" ht="15" hidden="false" customHeight="false" outlineLevel="0" collapsed="false">
      <c r="A22" s="3" t="s">
        <v>1331</v>
      </c>
      <c r="B22" s="3" t="s">
        <v>1329</v>
      </c>
      <c r="C22" s="3" t="s">
        <v>1314</v>
      </c>
      <c r="D22" s="3" t="s">
        <v>1281</v>
      </c>
      <c r="E22" s="3" t="s">
        <v>24</v>
      </c>
      <c r="F22" s="3" t="s">
        <v>1330</v>
      </c>
      <c r="G22" s="3" t="s">
        <v>114</v>
      </c>
      <c r="H22" s="3" t="s">
        <v>551</v>
      </c>
      <c r="I22" s="3" t="s">
        <v>552</v>
      </c>
    </row>
    <row r="23" customFormat="false" ht="15" hidden="false" customHeight="false" outlineLevel="0" collapsed="false">
      <c r="A23" s="3" t="s">
        <v>1332</v>
      </c>
      <c r="B23" s="3" t="s">
        <v>1333</v>
      </c>
      <c r="C23" s="3" t="s">
        <v>1334</v>
      </c>
      <c r="D23" s="3" t="s">
        <v>1286</v>
      </c>
      <c r="E23" s="3" t="s">
        <v>24</v>
      </c>
      <c r="F23" s="3" t="s">
        <v>1335</v>
      </c>
      <c r="G23" s="3" t="s">
        <v>121</v>
      </c>
      <c r="H23" s="3" t="s">
        <v>555</v>
      </c>
      <c r="I23" s="3" t="s">
        <v>535</v>
      </c>
    </row>
    <row r="24" customFormat="false" ht="15" hidden="false" customHeight="false" outlineLevel="0" collapsed="false">
      <c r="A24" s="3" t="s">
        <v>1336</v>
      </c>
      <c r="B24" s="3" t="s">
        <v>1333</v>
      </c>
      <c r="C24" s="3" t="s">
        <v>1334</v>
      </c>
      <c r="D24" s="3" t="s">
        <v>1286</v>
      </c>
      <c r="E24" s="3" t="s">
        <v>24</v>
      </c>
      <c r="F24" s="3" t="s">
        <v>1335</v>
      </c>
      <c r="G24" s="3" t="s">
        <v>121</v>
      </c>
      <c r="H24" s="3" t="s">
        <v>556</v>
      </c>
      <c r="I24" s="3" t="s">
        <v>510</v>
      </c>
    </row>
    <row r="25" customFormat="false" ht="15" hidden="false" customHeight="false" outlineLevel="0" collapsed="false">
      <c r="A25" s="3" t="s">
        <v>1337</v>
      </c>
      <c r="B25" s="3" t="s">
        <v>1338</v>
      </c>
      <c r="C25" s="3" t="s">
        <v>1302</v>
      </c>
      <c r="D25" s="3" t="s">
        <v>1286</v>
      </c>
      <c r="E25" s="3" t="s">
        <v>24</v>
      </c>
      <c r="F25" s="3" t="s">
        <v>1335</v>
      </c>
      <c r="G25" s="3" t="s">
        <v>130</v>
      </c>
      <c r="H25" s="3" t="s">
        <v>558</v>
      </c>
      <c r="I25" s="3" t="s">
        <v>543</v>
      </c>
    </row>
    <row r="26" customFormat="false" ht="15" hidden="false" customHeight="false" outlineLevel="0" collapsed="false">
      <c r="A26" s="3" t="s">
        <v>1339</v>
      </c>
      <c r="B26" s="3" t="s">
        <v>1340</v>
      </c>
      <c r="C26" s="3" t="s">
        <v>1314</v>
      </c>
      <c r="D26" s="3" t="s">
        <v>1286</v>
      </c>
      <c r="E26" s="3" t="s">
        <v>24</v>
      </c>
      <c r="F26" s="3" t="s">
        <v>1330</v>
      </c>
      <c r="G26" s="3" t="s">
        <v>136</v>
      </c>
      <c r="H26" s="3" t="s">
        <v>563</v>
      </c>
      <c r="I26" s="3" t="s">
        <v>564</v>
      </c>
    </row>
    <row r="27" customFormat="false" ht="15" hidden="false" customHeight="false" outlineLevel="0" collapsed="false">
      <c r="A27" s="3" t="s">
        <v>1341</v>
      </c>
      <c r="B27" s="3" t="s">
        <v>1342</v>
      </c>
      <c r="C27" s="3" t="s">
        <v>1285</v>
      </c>
      <c r="D27" s="3" t="s">
        <v>1286</v>
      </c>
      <c r="E27" s="3" t="s">
        <v>24</v>
      </c>
      <c r="F27" s="3" t="s">
        <v>1306</v>
      </c>
      <c r="G27" s="3" t="s">
        <v>139</v>
      </c>
      <c r="H27" s="3" t="s">
        <v>565</v>
      </c>
      <c r="I27" s="3" t="s">
        <v>538</v>
      </c>
    </row>
    <row r="28" customFormat="false" ht="15" hidden="false" customHeight="false" outlineLevel="0" collapsed="false">
      <c r="A28" s="3" t="s">
        <v>1343</v>
      </c>
      <c r="B28" s="3" t="s">
        <v>1342</v>
      </c>
      <c r="C28" s="3" t="s">
        <v>1285</v>
      </c>
      <c r="D28" s="3" t="s">
        <v>1286</v>
      </c>
      <c r="E28" s="3" t="s">
        <v>24</v>
      </c>
      <c r="F28" s="3" t="s">
        <v>1306</v>
      </c>
      <c r="G28" s="3" t="s">
        <v>139</v>
      </c>
      <c r="H28" s="3" t="s">
        <v>566</v>
      </c>
      <c r="I28" s="3" t="s">
        <v>522</v>
      </c>
    </row>
    <row r="29" customFormat="false" ht="15" hidden="false" customHeight="false" outlineLevel="0" collapsed="false">
      <c r="A29" s="3" t="s">
        <v>1344</v>
      </c>
      <c r="B29" s="3" t="s">
        <v>1345</v>
      </c>
      <c r="C29" s="3" t="s">
        <v>1302</v>
      </c>
      <c r="D29" s="3" t="s">
        <v>1286</v>
      </c>
      <c r="E29" s="3" t="s">
        <v>24</v>
      </c>
      <c r="F29" s="3" t="s">
        <v>1306</v>
      </c>
      <c r="G29" s="3" t="s">
        <v>139</v>
      </c>
      <c r="H29" s="3" t="s">
        <v>565</v>
      </c>
      <c r="I29" s="3" t="s">
        <v>538</v>
      </c>
    </row>
    <row r="30" customFormat="false" ht="15" hidden="false" customHeight="false" outlineLevel="0" collapsed="false">
      <c r="A30" s="3" t="s">
        <v>1346</v>
      </c>
      <c r="B30" s="3" t="s">
        <v>1347</v>
      </c>
      <c r="C30" s="3" t="s">
        <v>1285</v>
      </c>
      <c r="D30" s="3" t="s">
        <v>1286</v>
      </c>
      <c r="E30" s="3" t="s">
        <v>24</v>
      </c>
      <c r="F30" s="3" t="s">
        <v>1335</v>
      </c>
      <c r="G30" s="3" t="s">
        <v>139</v>
      </c>
      <c r="H30" s="3" t="s">
        <v>565</v>
      </c>
      <c r="I30" s="3" t="s">
        <v>538</v>
      </c>
    </row>
    <row r="31" customFormat="false" ht="15" hidden="false" customHeight="false" outlineLevel="0" collapsed="false">
      <c r="A31" s="3" t="s">
        <v>1348</v>
      </c>
      <c r="B31" s="3" t="s">
        <v>1349</v>
      </c>
      <c r="C31" s="3" t="s">
        <v>1314</v>
      </c>
      <c r="D31" s="3" t="s">
        <v>1286</v>
      </c>
      <c r="E31" s="3" t="s">
        <v>24</v>
      </c>
      <c r="F31" s="3" t="s">
        <v>1282</v>
      </c>
      <c r="G31" s="3" t="s">
        <v>142</v>
      </c>
      <c r="H31" s="3" t="s">
        <v>570</v>
      </c>
      <c r="I31" s="3" t="s">
        <v>529</v>
      </c>
    </row>
    <row r="32" customFormat="false" ht="15" hidden="false" customHeight="false" outlineLevel="0" collapsed="false">
      <c r="A32" s="3" t="s">
        <v>1350</v>
      </c>
      <c r="B32" s="3" t="s">
        <v>1351</v>
      </c>
      <c r="C32" s="3" t="s">
        <v>1352</v>
      </c>
      <c r="D32" s="3" t="s">
        <v>1281</v>
      </c>
      <c r="E32" s="3" t="s">
        <v>24</v>
      </c>
      <c r="F32" s="3" t="s">
        <v>1287</v>
      </c>
      <c r="G32" s="3" t="s">
        <v>142</v>
      </c>
      <c r="H32" s="3" t="s">
        <v>570</v>
      </c>
      <c r="I32" s="3" t="s">
        <v>529</v>
      </c>
    </row>
    <row r="33" customFormat="false" ht="15" hidden="false" customHeight="false" outlineLevel="0" collapsed="false">
      <c r="A33" s="3" t="s">
        <v>1353</v>
      </c>
      <c r="B33" s="3" t="s">
        <v>1354</v>
      </c>
      <c r="C33" s="3" t="s">
        <v>1355</v>
      </c>
      <c r="D33" s="3" t="s">
        <v>1286</v>
      </c>
      <c r="E33" s="3" t="s">
        <v>24</v>
      </c>
      <c r="F33" s="3" t="s">
        <v>1306</v>
      </c>
      <c r="G33" s="3" t="s">
        <v>147</v>
      </c>
      <c r="H33" s="3" t="s">
        <v>579</v>
      </c>
      <c r="I33" s="3" t="s">
        <v>548</v>
      </c>
    </row>
    <row r="34" customFormat="false" ht="15" hidden="false" customHeight="false" outlineLevel="0" collapsed="false">
      <c r="A34" s="3" t="s">
        <v>1356</v>
      </c>
      <c r="B34" s="3" t="s">
        <v>1357</v>
      </c>
      <c r="C34" s="3" t="s">
        <v>1358</v>
      </c>
      <c r="D34" s="3" t="s">
        <v>1286</v>
      </c>
      <c r="E34" s="3" t="s">
        <v>24</v>
      </c>
      <c r="F34" s="3" t="s">
        <v>1282</v>
      </c>
      <c r="G34" s="3" t="s">
        <v>147</v>
      </c>
      <c r="H34" s="3" t="s">
        <v>574</v>
      </c>
      <c r="I34" s="3" t="s">
        <v>575</v>
      </c>
    </row>
    <row r="35" customFormat="false" ht="15" hidden="false" customHeight="false" outlineLevel="0" collapsed="false">
      <c r="A35" s="3" t="s">
        <v>1359</v>
      </c>
      <c r="B35" s="3" t="s">
        <v>1360</v>
      </c>
      <c r="C35" s="3" t="s">
        <v>1323</v>
      </c>
      <c r="D35" s="3" t="s">
        <v>1286</v>
      </c>
      <c r="E35" s="3" t="s">
        <v>24</v>
      </c>
      <c r="F35" s="3" t="s">
        <v>1282</v>
      </c>
      <c r="G35" s="3" t="s">
        <v>147</v>
      </c>
      <c r="H35" s="3" t="s">
        <v>579</v>
      </c>
      <c r="I35" s="3" t="s">
        <v>548</v>
      </c>
    </row>
    <row r="36" customFormat="false" ht="15" hidden="false" customHeight="false" outlineLevel="0" collapsed="false">
      <c r="A36" s="3" t="s">
        <v>1361</v>
      </c>
      <c r="B36" s="3" t="s">
        <v>1360</v>
      </c>
      <c r="C36" s="3" t="s">
        <v>1323</v>
      </c>
      <c r="D36" s="3" t="s">
        <v>1286</v>
      </c>
      <c r="E36" s="3" t="s">
        <v>24</v>
      </c>
      <c r="F36" s="3" t="s">
        <v>1282</v>
      </c>
      <c r="G36" s="3" t="s">
        <v>147</v>
      </c>
      <c r="H36" s="3" t="s">
        <v>574</v>
      </c>
      <c r="I36" s="3" t="s">
        <v>575</v>
      </c>
    </row>
    <row r="37" customFormat="false" ht="15" hidden="false" customHeight="false" outlineLevel="0" collapsed="false">
      <c r="A37" s="3" t="s">
        <v>1362</v>
      </c>
      <c r="B37" s="3" t="s">
        <v>1363</v>
      </c>
      <c r="C37" s="3" t="s">
        <v>1364</v>
      </c>
      <c r="D37" s="3" t="s">
        <v>1281</v>
      </c>
      <c r="E37" s="3" t="s">
        <v>24</v>
      </c>
      <c r="F37" s="3" t="s">
        <v>1306</v>
      </c>
      <c r="G37" s="3" t="s">
        <v>153</v>
      </c>
      <c r="H37" s="3" t="s">
        <v>582</v>
      </c>
      <c r="I37" s="3" t="s">
        <v>516</v>
      </c>
    </row>
    <row r="38" customFormat="false" ht="15" hidden="false" customHeight="false" outlineLevel="0" collapsed="false">
      <c r="A38" s="3" t="s">
        <v>1365</v>
      </c>
      <c r="B38" s="3" t="s">
        <v>1366</v>
      </c>
      <c r="C38" s="3" t="s">
        <v>1310</v>
      </c>
      <c r="D38" s="3" t="s">
        <v>1286</v>
      </c>
      <c r="E38" s="3" t="s">
        <v>24</v>
      </c>
      <c r="F38" s="3" t="s">
        <v>1335</v>
      </c>
      <c r="G38" s="3" t="s">
        <v>159</v>
      </c>
      <c r="H38" s="3" t="s">
        <v>583</v>
      </c>
      <c r="I38" s="3" t="s">
        <v>522</v>
      </c>
    </row>
    <row r="39" customFormat="false" ht="15" hidden="false" customHeight="false" outlineLevel="0" collapsed="false">
      <c r="A39" s="3" t="s">
        <v>1367</v>
      </c>
      <c r="B39" s="3" t="s">
        <v>1368</v>
      </c>
      <c r="C39" s="3" t="s">
        <v>1327</v>
      </c>
      <c r="D39" s="3" t="s">
        <v>1281</v>
      </c>
      <c r="E39" s="3" t="s">
        <v>24</v>
      </c>
      <c r="F39" s="3" t="s">
        <v>1306</v>
      </c>
      <c r="G39" s="3" t="s">
        <v>161</v>
      </c>
      <c r="H39" s="3" t="s">
        <v>586</v>
      </c>
      <c r="I39" s="3" t="s">
        <v>548</v>
      </c>
    </row>
    <row r="40" customFormat="false" ht="15" hidden="false" customHeight="false" outlineLevel="0" collapsed="false">
      <c r="A40" s="3" t="s">
        <v>1369</v>
      </c>
      <c r="B40" s="3" t="s">
        <v>1370</v>
      </c>
      <c r="C40" s="3" t="s">
        <v>1358</v>
      </c>
      <c r="D40" s="3" t="s">
        <v>1286</v>
      </c>
      <c r="E40" s="3" t="s">
        <v>24</v>
      </c>
      <c r="F40" s="3" t="s">
        <v>1330</v>
      </c>
      <c r="G40" s="3" t="s">
        <v>163</v>
      </c>
      <c r="H40" s="3" t="s">
        <v>587</v>
      </c>
      <c r="I40" s="3" t="s">
        <v>535</v>
      </c>
    </row>
    <row r="41" customFormat="false" ht="15" hidden="false" customHeight="false" outlineLevel="0" collapsed="false">
      <c r="A41" s="3" t="s">
        <v>1371</v>
      </c>
      <c r="B41" s="3" t="s">
        <v>1370</v>
      </c>
      <c r="C41" s="3" t="s">
        <v>1358</v>
      </c>
      <c r="D41" s="3" t="s">
        <v>1286</v>
      </c>
      <c r="E41" s="3" t="s">
        <v>24</v>
      </c>
      <c r="F41" s="3" t="s">
        <v>1330</v>
      </c>
      <c r="G41" s="3" t="s">
        <v>163</v>
      </c>
      <c r="H41" s="3" t="s">
        <v>588</v>
      </c>
      <c r="I41" s="3" t="s">
        <v>522</v>
      </c>
    </row>
    <row r="42" customFormat="false" ht="15" hidden="false" customHeight="false" outlineLevel="0" collapsed="false">
      <c r="A42" s="3" t="s">
        <v>1372</v>
      </c>
      <c r="B42" s="3" t="s">
        <v>1373</v>
      </c>
      <c r="C42" s="3" t="s">
        <v>1334</v>
      </c>
      <c r="D42" s="3" t="s">
        <v>1286</v>
      </c>
      <c r="E42" s="3" t="s">
        <v>24</v>
      </c>
      <c r="F42" s="3" t="s">
        <v>1282</v>
      </c>
      <c r="G42" s="3" t="s">
        <v>164</v>
      </c>
      <c r="H42" s="3" t="s">
        <v>592</v>
      </c>
      <c r="I42" s="3" t="s">
        <v>518</v>
      </c>
    </row>
    <row r="43" customFormat="false" ht="15" hidden="false" customHeight="false" outlineLevel="0" collapsed="false">
      <c r="A43" s="3" t="s">
        <v>1374</v>
      </c>
      <c r="B43" s="3" t="s">
        <v>1375</v>
      </c>
      <c r="C43" s="3" t="s">
        <v>1314</v>
      </c>
      <c r="D43" s="3" t="s">
        <v>1286</v>
      </c>
      <c r="E43" s="3" t="s">
        <v>24</v>
      </c>
      <c r="F43" s="3" t="s">
        <v>1282</v>
      </c>
      <c r="G43" s="3" t="s">
        <v>164</v>
      </c>
      <c r="H43" s="3" t="s">
        <v>591</v>
      </c>
      <c r="I43" s="3" t="s">
        <v>538</v>
      </c>
    </row>
    <row r="44" customFormat="false" ht="15" hidden="false" customHeight="false" outlineLevel="0" collapsed="false">
      <c r="A44" s="3" t="s">
        <v>1376</v>
      </c>
      <c r="B44" s="3" t="s">
        <v>1377</v>
      </c>
      <c r="C44" s="3" t="s">
        <v>1327</v>
      </c>
      <c r="D44" s="3" t="s">
        <v>1286</v>
      </c>
      <c r="E44" s="3" t="s">
        <v>24</v>
      </c>
      <c r="F44" s="3" t="s">
        <v>1287</v>
      </c>
      <c r="G44" s="3" t="s">
        <v>166</v>
      </c>
      <c r="H44" s="3" t="s">
        <v>593</v>
      </c>
      <c r="I44" s="3" t="s">
        <v>529</v>
      </c>
    </row>
    <row r="45" customFormat="false" ht="15" hidden="false" customHeight="false" outlineLevel="0" collapsed="false">
      <c r="A45" s="3" t="s">
        <v>1378</v>
      </c>
      <c r="B45" s="3" t="s">
        <v>1379</v>
      </c>
      <c r="C45" s="3" t="s">
        <v>1334</v>
      </c>
      <c r="D45" s="3" t="s">
        <v>1286</v>
      </c>
      <c r="E45" s="3" t="s">
        <v>24</v>
      </c>
      <c r="F45" s="3" t="s">
        <v>1330</v>
      </c>
      <c r="G45" s="3" t="s">
        <v>166</v>
      </c>
      <c r="H45" s="3" t="s">
        <v>593</v>
      </c>
      <c r="I45" s="3" t="s">
        <v>529</v>
      </c>
    </row>
    <row r="46" customFormat="false" ht="15" hidden="false" customHeight="false" outlineLevel="0" collapsed="false">
      <c r="A46" s="3" t="s">
        <v>1380</v>
      </c>
      <c r="B46" s="3" t="s">
        <v>1381</v>
      </c>
      <c r="C46" s="3" t="s">
        <v>1334</v>
      </c>
      <c r="D46" s="3" t="s">
        <v>1286</v>
      </c>
      <c r="E46" s="3" t="s">
        <v>24</v>
      </c>
      <c r="F46" s="3" t="s">
        <v>1287</v>
      </c>
      <c r="G46" s="3" t="s">
        <v>166</v>
      </c>
      <c r="H46" s="3" t="s">
        <v>593</v>
      </c>
      <c r="I46" s="3" t="s">
        <v>529</v>
      </c>
    </row>
    <row r="47" customFormat="false" ht="15" hidden="false" customHeight="false" outlineLevel="0" collapsed="false">
      <c r="A47" s="3" t="s">
        <v>1382</v>
      </c>
      <c r="B47" s="3" t="s">
        <v>1383</v>
      </c>
      <c r="C47" s="3" t="s">
        <v>1364</v>
      </c>
      <c r="D47" s="3" t="s">
        <v>1281</v>
      </c>
      <c r="E47" s="3" t="s">
        <v>24</v>
      </c>
      <c r="F47" s="3" t="s">
        <v>1282</v>
      </c>
      <c r="G47" s="3" t="s">
        <v>167</v>
      </c>
      <c r="H47" s="3" t="s">
        <v>594</v>
      </c>
      <c r="I47" s="3" t="s">
        <v>535</v>
      </c>
    </row>
    <row r="48" customFormat="false" ht="15" hidden="false" customHeight="false" outlineLevel="0" collapsed="false">
      <c r="A48" s="3" t="s">
        <v>1384</v>
      </c>
      <c r="B48" s="3" t="s">
        <v>1385</v>
      </c>
      <c r="C48" s="3" t="s">
        <v>1386</v>
      </c>
      <c r="D48" s="3" t="s">
        <v>1286</v>
      </c>
      <c r="E48" s="3" t="s">
        <v>24</v>
      </c>
      <c r="F48" s="3" t="s">
        <v>1306</v>
      </c>
      <c r="G48" s="3" t="s">
        <v>170</v>
      </c>
      <c r="H48" s="3" t="s">
        <v>599</v>
      </c>
      <c r="I48" s="3" t="s">
        <v>543</v>
      </c>
    </row>
    <row r="49" customFormat="false" ht="15" hidden="false" customHeight="false" outlineLevel="0" collapsed="false">
      <c r="A49" s="3" t="s">
        <v>1387</v>
      </c>
      <c r="B49" s="3" t="s">
        <v>1385</v>
      </c>
      <c r="C49" s="3" t="s">
        <v>1386</v>
      </c>
      <c r="D49" s="3" t="s">
        <v>1286</v>
      </c>
      <c r="E49" s="3" t="s">
        <v>24</v>
      </c>
      <c r="F49" s="3" t="s">
        <v>1306</v>
      </c>
      <c r="G49" s="3" t="s">
        <v>170</v>
      </c>
      <c r="H49" s="3" t="s">
        <v>598</v>
      </c>
      <c r="I49" s="3" t="s">
        <v>535</v>
      </c>
    </row>
    <row r="50" customFormat="false" ht="15" hidden="false" customHeight="false" outlineLevel="0" collapsed="false">
      <c r="A50" s="3" t="s">
        <v>1388</v>
      </c>
      <c r="B50" s="3" t="s">
        <v>1385</v>
      </c>
      <c r="C50" s="3" t="s">
        <v>1386</v>
      </c>
      <c r="D50" s="3" t="s">
        <v>1286</v>
      </c>
      <c r="E50" s="3" t="s">
        <v>24</v>
      </c>
      <c r="F50" s="3" t="s">
        <v>1306</v>
      </c>
      <c r="G50" s="3" t="s">
        <v>170</v>
      </c>
      <c r="H50" s="3" t="s">
        <v>600</v>
      </c>
      <c r="I50" s="3" t="s">
        <v>524</v>
      </c>
    </row>
    <row r="51" customFormat="false" ht="15" hidden="false" customHeight="false" outlineLevel="0" collapsed="false">
      <c r="A51" s="3" t="s">
        <v>1389</v>
      </c>
      <c r="B51" s="3" t="s">
        <v>1390</v>
      </c>
      <c r="C51" s="3" t="s">
        <v>1327</v>
      </c>
      <c r="D51" s="3" t="s">
        <v>1286</v>
      </c>
      <c r="E51" s="3" t="s">
        <v>24</v>
      </c>
      <c r="F51" s="3" t="s">
        <v>1306</v>
      </c>
      <c r="G51" s="3" t="s">
        <v>179</v>
      </c>
      <c r="H51" s="3" t="s">
        <v>602</v>
      </c>
      <c r="I51" s="3" t="s">
        <v>552</v>
      </c>
    </row>
    <row r="52" customFormat="false" ht="15" hidden="false" customHeight="false" outlineLevel="0" collapsed="false">
      <c r="A52" s="3" t="s">
        <v>1391</v>
      </c>
      <c r="B52" s="3" t="s">
        <v>1390</v>
      </c>
      <c r="C52" s="3" t="s">
        <v>1327</v>
      </c>
      <c r="D52" s="3" t="s">
        <v>1286</v>
      </c>
      <c r="E52" s="3" t="s">
        <v>24</v>
      </c>
      <c r="F52" s="3" t="s">
        <v>1306</v>
      </c>
      <c r="G52" s="3" t="s">
        <v>179</v>
      </c>
      <c r="H52" s="3" t="s">
        <v>604</v>
      </c>
      <c r="I52" s="3" t="s">
        <v>538</v>
      </c>
    </row>
    <row r="53" customFormat="false" ht="15" hidden="false" customHeight="false" outlineLevel="0" collapsed="false">
      <c r="A53" s="3" t="s">
        <v>1392</v>
      </c>
      <c r="B53" s="3" t="s">
        <v>1393</v>
      </c>
      <c r="C53" s="3" t="s">
        <v>1302</v>
      </c>
      <c r="D53" s="3" t="s">
        <v>1286</v>
      </c>
      <c r="E53" s="3" t="s">
        <v>24</v>
      </c>
      <c r="F53" s="3" t="s">
        <v>1287</v>
      </c>
      <c r="G53" s="3" t="s">
        <v>180</v>
      </c>
      <c r="H53" s="3" t="s">
        <v>606</v>
      </c>
      <c r="I53" s="3" t="s">
        <v>526</v>
      </c>
    </row>
    <row r="54" customFormat="false" ht="15" hidden="false" customHeight="false" outlineLevel="0" collapsed="false">
      <c r="A54" s="3" t="s">
        <v>1394</v>
      </c>
      <c r="B54" s="3" t="s">
        <v>1395</v>
      </c>
      <c r="C54" s="3" t="s">
        <v>1396</v>
      </c>
      <c r="D54" s="3" t="s">
        <v>1281</v>
      </c>
      <c r="E54" s="3" t="s">
        <v>24</v>
      </c>
      <c r="F54" s="3" t="s">
        <v>1282</v>
      </c>
      <c r="G54" s="3" t="s">
        <v>182</v>
      </c>
      <c r="H54" s="3" t="s">
        <v>609</v>
      </c>
      <c r="I54" s="3" t="s">
        <v>543</v>
      </c>
    </row>
    <row r="55" customFormat="false" ht="15" hidden="false" customHeight="false" outlineLevel="0" collapsed="false">
      <c r="A55" s="3" t="s">
        <v>1397</v>
      </c>
      <c r="B55" s="3" t="s">
        <v>1398</v>
      </c>
      <c r="C55" s="3" t="s">
        <v>1280</v>
      </c>
      <c r="D55" s="3" t="s">
        <v>1286</v>
      </c>
      <c r="E55" s="3" t="s">
        <v>24</v>
      </c>
      <c r="F55" s="3" t="s">
        <v>1282</v>
      </c>
      <c r="G55" s="3" t="s">
        <v>182</v>
      </c>
      <c r="H55" s="3" t="s">
        <v>609</v>
      </c>
      <c r="I55" s="3" t="s">
        <v>543</v>
      </c>
    </row>
    <row r="56" customFormat="false" ht="15" hidden="false" customHeight="false" outlineLevel="0" collapsed="false">
      <c r="A56" s="3" t="s">
        <v>1399</v>
      </c>
      <c r="B56" s="3" t="s">
        <v>1398</v>
      </c>
      <c r="C56" s="3" t="s">
        <v>1280</v>
      </c>
      <c r="D56" s="3" t="s">
        <v>1286</v>
      </c>
      <c r="E56" s="3" t="s">
        <v>24</v>
      </c>
      <c r="F56" s="3" t="s">
        <v>1282</v>
      </c>
      <c r="G56" s="3" t="s">
        <v>182</v>
      </c>
      <c r="H56" s="3" t="s">
        <v>608</v>
      </c>
      <c r="I56" s="3" t="s">
        <v>548</v>
      </c>
    </row>
    <row r="57" customFormat="false" ht="15" hidden="false" customHeight="false" outlineLevel="0" collapsed="false">
      <c r="A57" s="3" t="s">
        <v>1400</v>
      </c>
      <c r="B57" s="3" t="s">
        <v>1401</v>
      </c>
      <c r="C57" s="3" t="s">
        <v>1402</v>
      </c>
      <c r="D57" s="3" t="s">
        <v>1281</v>
      </c>
      <c r="E57" s="3" t="s">
        <v>24</v>
      </c>
      <c r="F57" s="3" t="s">
        <v>1330</v>
      </c>
      <c r="G57" s="3" t="s">
        <v>184</v>
      </c>
      <c r="H57" s="3" t="s">
        <v>612</v>
      </c>
      <c r="I57" s="3" t="s">
        <v>543</v>
      </c>
    </row>
    <row r="58" customFormat="false" ht="15" hidden="false" customHeight="false" outlineLevel="0" collapsed="false">
      <c r="A58" s="3" t="s">
        <v>1403</v>
      </c>
      <c r="B58" s="3" t="s">
        <v>1404</v>
      </c>
      <c r="C58" s="3" t="s">
        <v>1405</v>
      </c>
      <c r="D58" s="3" t="s">
        <v>1286</v>
      </c>
      <c r="E58" s="3" t="s">
        <v>24</v>
      </c>
      <c r="F58" s="3" t="s">
        <v>1330</v>
      </c>
      <c r="G58" s="3" t="s">
        <v>184</v>
      </c>
      <c r="H58" s="3" t="s">
        <v>612</v>
      </c>
      <c r="I58" s="3" t="s">
        <v>543</v>
      </c>
    </row>
    <row r="59" customFormat="false" ht="15" hidden="false" customHeight="false" outlineLevel="0" collapsed="false">
      <c r="A59" s="3" t="s">
        <v>1406</v>
      </c>
      <c r="B59" s="3" t="s">
        <v>1407</v>
      </c>
      <c r="C59" s="3" t="s">
        <v>1408</v>
      </c>
      <c r="D59" s="3" t="s">
        <v>1286</v>
      </c>
      <c r="E59" s="3" t="s">
        <v>24</v>
      </c>
      <c r="F59" s="3" t="s">
        <v>1282</v>
      </c>
      <c r="G59" s="3" t="s">
        <v>184</v>
      </c>
      <c r="H59" s="3" t="s">
        <v>612</v>
      </c>
      <c r="I59" s="3" t="s">
        <v>543</v>
      </c>
    </row>
    <row r="60" customFormat="false" ht="15" hidden="false" customHeight="false" outlineLevel="0" collapsed="false">
      <c r="A60" s="3" t="s">
        <v>1409</v>
      </c>
      <c r="B60" s="3" t="s">
        <v>1407</v>
      </c>
      <c r="C60" s="3" t="s">
        <v>1408</v>
      </c>
      <c r="D60" s="3" t="s">
        <v>1286</v>
      </c>
      <c r="E60" s="3" t="s">
        <v>24</v>
      </c>
      <c r="F60" s="3" t="s">
        <v>1282</v>
      </c>
      <c r="G60" s="3" t="s">
        <v>184</v>
      </c>
      <c r="H60" s="3" t="s">
        <v>611</v>
      </c>
      <c r="I60" s="3" t="s">
        <v>538</v>
      </c>
    </row>
    <row r="61" customFormat="false" ht="15" hidden="false" customHeight="false" outlineLevel="0" collapsed="false">
      <c r="A61" s="3" t="s">
        <v>1410</v>
      </c>
      <c r="B61" s="3" t="s">
        <v>1411</v>
      </c>
      <c r="C61" s="3" t="s">
        <v>1327</v>
      </c>
      <c r="D61" s="3" t="s">
        <v>1286</v>
      </c>
      <c r="E61" s="3" t="s">
        <v>24</v>
      </c>
      <c r="F61" s="3" t="s">
        <v>1335</v>
      </c>
      <c r="G61" s="3" t="s">
        <v>187</v>
      </c>
      <c r="H61" s="3" t="s">
        <v>614</v>
      </c>
      <c r="I61" s="3" t="s">
        <v>540</v>
      </c>
    </row>
    <row r="62" customFormat="false" ht="15" hidden="false" customHeight="false" outlineLevel="0" collapsed="false">
      <c r="A62" s="3" t="s">
        <v>1412</v>
      </c>
      <c r="B62" s="3" t="s">
        <v>1413</v>
      </c>
      <c r="C62" s="3" t="s">
        <v>1323</v>
      </c>
      <c r="D62" s="3" t="s">
        <v>1286</v>
      </c>
      <c r="E62" s="3" t="s">
        <v>24</v>
      </c>
      <c r="F62" s="3" t="s">
        <v>1335</v>
      </c>
      <c r="G62" s="3" t="s">
        <v>188</v>
      </c>
      <c r="H62" s="3" t="s">
        <v>617</v>
      </c>
      <c r="I62" s="3" t="s">
        <v>552</v>
      </c>
    </row>
    <row r="63" customFormat="false" ht="15" hidden="false" customHeight="false" outlineLevel="0" collapsed="false">
      <c r="A63" s="3" t="s">
        <v>1414</v>
      </c>
      <c r="B63" s="3" t="s">
        <v>1415</v>
      </c>
      <c r="C63" s="3" t="s">
        <v>1319</v>
      </c>
      <c r="D63" s="3" t="s">
        <v>1281</v>
      </c>
      <c r="E63" s="3" t="s">
        <v>24</v>
      </c>
      <c r="F63" s="3" t="s">
        <v>1330</v>
      </c>
      <c r="G63" s="3" t="s">
        <v>188</v>
      </c>
      <c r="H63" s="3" t="s">
        <v>617</v>
      </c>
      <c r="I63" s="3" t="s">
        <v>552</v>
      </c>
    </row>
    <row r="64" customFormat="false" ht="15" hidden="false" customHeight="false" outlineLevel="0" collapsed="false">
      <c r="A64" s="3" t="s">
        <v>1416</v>
      </c>
      <c r="B64" s="3" t="s">
        <v>1417</v>
      </c>
      <c r="C64" s="3" t="s">
        <v>1327</v>
      </c>
      <c r="D64" s="3" t="s">
        <v>1286</v>
      </c>
      <c r="E64" s="3" t="s">
        <v>24</v>
      </c>
      <c r="F64" s="3" t="s">
        <v>1282</v>
      </c>
      <c r="G64" s="3" t="s">
        <v>191</v>
      </c>
      <c r="H64" s="3" t="s">
        <v>623</v>
      </c>
      <c r="I64" s="3" t="s">
        <v>524</v>
      </c>
    </row>
    <row r="65" customFormat="false" ht="15" hidden="false" customHeight="false" outlineLevel="0" collapsed="false">
      <c r="A65" s="3" t="s">
        <v>1418</v>
      </c>
      <c r="B65" s="3" t="s">
        <v>1417</v>
      </c>
      <c r="C65" s="3" t="s">
        <v>1327</v>
      </c>
      <c r="D65" s="3" t="s">
        <v>1286</v>
      </c>
      <c r="E65" s="3" t="s">
        <v>24</v>
      </c>
      <c r="F65" s="3" t="s">
        <v>1282</v>
      </c>
      <c r="G65" s="3" t="s">
        <v>191</v>
      </c>
      <c r="H65" s="3" t="s">
        <v>624</v>
      </c>
      <c r="I65" s="3" t="s">
        <v>540</v>
      </c>
    </row>
    <row r="66" customFormat="false" ht="15" hidden="false" customHeight="false" outlineLevel="0" collapsed="false">
      <c r="A66" s="3" t="s">
        <v>1419</v>
      </c>
      <c r="B66" s="3" t="s">
        <v>1417</v>
      </c>
      <c r="C66" s="3" t="s">
        <v>1327</v>
      </c>
      <c r="D66" s="3" t="s">
        <v>1286</v>
      </c>
      <c r="E66" s="3" t="s">
        <v>24</v>
      </c>
      <c r="F66" s="3" t="s">
        <v>1282</v>
      </c>
      <c r="G66" s="3" t="s">
        <v>191</v>
      </c>
      <c r="H66" s="3" t="s">
        <v>621</v>
      </c>
      <c r="I66" s="3" t="s">
        <v>543</v>
      </c>
    </row>
    <row r="67" customFormat="false" ht="15" hidden="false" customHeight="false" outlineLevel="0" collapsed="false">
      <c r="A67" s="3" t="s">
        <v>1420</v>
      </c>
      <c r="B67" s="3" t="s">
        <v>1421</v>
      </c>
      <c r="C67" s="3" t="s">
        <v>1334</v>
      </c>
      <c r="D67" s="3" t="s">
        <v>1286</v>
      </c>
      <c r="E67" s="3" t="s">
        <v>24</v>
      </c>
      <c r="F67" s="3" t="s">
        <v>1330</v>
      </c>
      <c r="G67" s="3" t="s">
        <v>192</v>
      </c>
      <c r="H67" s="3" t="s">
        <v>628</v>
      </c>
      <c r="I67" s="3" t="s">
        <v>540</v>
      </c>
    </row>
    <row r="68" customFormat="false" ht="15" hidden="false" customHeight="false" outlineLevel="0" collapsed="false">
      <c r="A68" s="3" t="s">
        <v>1422</v>
      </c>
      <c r="B68" s="3" t="s">
        <v>1423</v>
      </c>
      <c r="C68" s="3" t="s">
        <v>1355</v>
      </c>
      <c r="D68" s="3" t="s">
        <v>1286</v>
      </c>
      <c r="E68" s="3" t="s">
        <v>24</v>
      </c>
      <c r="F68" s="3" t="s">
        <v>1282</v>
      </c>
      <c r="G68" s="3" t="s">
        <v>193</v>
      </c>
      <c r="H68" s="3" t="s">
        <v>635</v>
      </c>
      <c r="I68" s="3" t="s">
        <v>548</v>
      </c>
    </row>
    <row r="69" customFormat="false" ht="15" hidden="false" customHeight="false" outlineLevel="0" collapsed="false">
      <c r="A69" s="3" t="s">
        <v>1424</v>
      </c>
      <c r="B69" s="3" t="s">
        <v>1423</v>
      </c>
      <c r="C69" s="3" t="s">
        <v>1355</v>
      </c>
      <c r="D69" s="3" t="s">
        <v>1286</v>
      </c>
      <c r="E69" s="3" t="s">
        <v>24</v>
      </c>
      <c r="F69" s="3" t="s">
        <v>1282</v>
      </c>
      <c r="G69" s="3" t="s">
        <v>193</v>
      </c>
      <c r="H69" s="3" t="s">
        <v>633</v>
      </c>
      <c r="I69" s="3" t="s">
        <v>543</v>
      </c>
    </row>
    <row r="70" customFormat="false" ht="15" hidden="false" customHeight="false" outlineLevel="0" collapsed="false">
      <c r="A70" s="3" t="s">
        <v>1425</v>
      </c>
      <c r="B70" s="3" t="s">
        <v>1426</v>
      </c>
      <c r="C70" s="3" t="s">
        <v>1408</v>
      </c>
      <c r="D70" s="3" t="s">
        <v>1281</v>
      </c>
      <c r="E70" s="3" t="s">
        <v>24</v>
      </c>
      <c r="F70" s="3" t="s">
        <v>1282</v>
      </c>
      <c r="G70" s="3" t="s">
        <v>195</v>
      </c>
      <c r="H70" s="3" t="s">
        <v>636</v>
      </c>
      <c r="I70" s="3" t="s">
        <v>535</v>
      </c>
    </row>
    <row r="71" customFormat="false" ht="15" hidden="false" customHeight="false" outlineLevel="0" collapsed="false">
      <c r="A71" s="3" t="s">
        <v>1427</v>
      </c>
      <c r="B71" s="3" t="s">
        <v>1428</v>
      </c>
      <c r="C71" s="3" t="s">
        <v>1405</v>
      </c>
      <c r="D71" s="3" t="s">
        <v>1286</v>
      </c>
      <c r="E71" s="3" t="s">
        <v>24</v>
      </c>
      <c r="F71" s="3" t="s">
        <v>1335</v>
      </c>
      <c r="G71" s="3" t="s">
        <v>195</v>
      </c>
      <c r="H71" s="3" t="s">
        <v>636</v>
      </c>
      <c r="I71" s="3" t="s">
        <v>535</v>
      </c>
    </row>
    <row r="72" customFormat="false" ht="15" hidden="false" customHeight="false" outlineLevel="0" collapsed="false">
      <c r="A72" s="3" t="s">
        <v>1429</v>
      </c>
      <c r="B72" s="3" t="s">
        <v>1430</v>
      </c>
      <c r="C72" s="3" t="s">
        <v>1431</v>
      </c>
      <c r="D72" s="3" t="s">
        <v>1286</v>
      </c>
      <c r="E72" s="3" t="s">
        <v>24</v>
      </c>
      <c r="F72" s="3" t="s">
        <v>1306</v>
      </c>
      <c r="G72" s="3" t="s">
        <v>199</v>
      </c>
      <c r="H72" s="3" t="s">
        <v>639</v>
      </c>
      <c r="I72" s="3" t="s">
        <v>564</v>
      </c>
    </row>
    <row r="73" customFormat="false" ht="15" hidden="false" customHeight="false" outlineLevel="0" collapsed="false">
      <c r="A73" s="3" t="s">
        <v>1432</v>
      </c>
      <c r="B73" s="3" t="s">
        <v>1430</v>
      </c>
      <c r="C73" s="3" t="s">
        <v>1431</v>
      </c>
      <c r="D73" s="3" t="s">
        <v>1286</v>
      </c>
      <c r="E73" s="3" t="s">
        <v>24</v>
      </c>
      <c r="F73" s="3" t="s">
        <v>1306</v>
      </c>
      <c r="G73" s="3" t="s">
        <v>199</v>
      </c>
      <c r="H73" s="3" t="s">
        <v>638</v>
      </c>
      <c r="I73" s="3" t="s">
        <v>531</v>
      </c>
    </row>
    <row r="74" customFormat="false" ht="15" hidden="false" customHeight="false" outlineLevel="0" collapsed="false">
      <c r="A74" s="3" t="s">
        <v>1433</v>
      </c>
      <c r="B74" s="3" t="s">
        <v>1434</v>
      </c>
      <c r="C74" s="3" t="s">
        <v>1435</v>
      </c>
      <c r="D74" s="3" t="s">
        <v>1286</v>
      </c>
      <c r="E74" s="3" t="s">
        <v>24</v>
      </c>
      <c r="F74" s="3" t="s">
        <v>1306</v>
      </c>
      <c r="G74" s="3" t="s">
        <v>199</v>
      </c>
      <c r="H74" s="3" t="s">
        <v>640</v>
      </c>
      <c r="I74" s="3" t="s">
        <v>516</v>
      </c>
    </row>
    <row r="75" customFormat="false" ht="15" hidden="false" customHeight="false" outlineLevel="0" collapsed="false">
      <c r="A75" s="3" t="s">
        <v>1436</v>
      </c>
      <c r="B75" s="3" t="s">
        <v>1434</v>
      </c>
      <c r="C75" s="3" t="s">
        <v>1435</v>
      </c>
      <c r="D75" s="3" t="s">
        <v>1286</v>
      </c>
      <c r="E75" s="3" t="s">
        <v>24</v>
      </c>
      <c r="F75" s="3" t="s">
        <v>1306</v>
      </c>
      <c r="G75" s="3" t="s">
        <v>199</v>
      </c>
      <c r="H75" s="3" t="s">
        <v>638</v>
      </c>
      <c r="I75" s="3" t="s">
        <v>531</v>
      </c>
    </row>
    <row r="76" customFormat="false" ht="15" hidden="false" customHeight="false" outlineLevel="0" collapsed="false">
      <c r="A76" s="3" t="s">
        <v>1437</v>
      </c>
      <c r="B76" s="3" t="s">
        <v>1434</v>
      </c>
      <c r="C76" s="3" t="s">
        <v>1435</v>
      </c>
      <c r="D76" s="3" t="s">
        <v>1286</v>
      </c>
      <c r="E76" s="3" t="s">
        <v>24</v>
      </c>
      <c r="F76" s="3" t="s">
        <v>1306</v>
      </c>
      <c r="G76" s="3" t="s">
        <v>199</v>
      </c>
      <c r="H76" s="3" t="s">
        <v>639</v>
      </c>
      <c r="I76" s="3" t="s">
        <v>564</v>
      </c>
    </row>
    <row r="77" customFormat="false" ht="15" hidden="false" customHeight="false" outlineLevel="0" collapsed="false">
      <c r="A77" s="3" t="s">
        <v>1438</v>
      </c>
      <c r="B77" s="3" t="s">
        <v>1439</v>
      </c>
      <c r="C77" s="3" t="s">
        <v>1302</v>
      </c>
      <c r="D77" s="3" t="s">
        <v>1281</v>
      </c>
      <c r="E77" s="3" t="s">
        <v>24</v>
      </c>
      <c r="F77" s="3" t="s">
        <v>1282</v>
      </c>
      <c r="G77" s="3" t="s">
        <v>201</v>
      </c>
      <c r="H77" s="3" t="s">
        <v>645</v>
      </c>
      <c r="I77" s="3" t="s">
        <v>516</v>
      </c>
    </row>
    <row r="78" customFormat="false" ht="15" hidden="false" customHeight="false" outlineLevel="0" collapsed="false">
      <c r="A78" s="3" t="s">
        <v>1440</v>
      </c>
      <c r="B78" s="3" t="s">
        <v>1441</v>
      </c>
      <c r="C78" s="3" t="s">
        <v>1358</v>
      </c>
      <c r="D78" s="3" t="s">
        <v>1286</v>
      </c>
      <c r="E78" s="3" t="s">
        <v>24</v>
      </c>
      <c r="F78" s="3" t="s">
        <v>1306</v>
      </c>
      <c r="G78" s="3" t="s">
        <v>203</v>
      </c>
      <c r="H78" s="3" t="s">
        <v>648</v>
      </c>
      <c r="I78" s="3" t="s">
        <v>564</v>
      </c>
    </row>
    <row r="79" customFormat="false" ht="15" hidden="false" customHeight="false" outlineLevel="0" collapsed="false">
      <c r="A79" s="3" t="s">
        <v>1442</v>
      </c>
      <c r="B79" s="3" t="s">
        <v>1441</v>
      </c>
      <c r="C79" s="3" t="s">
        <v>1358</v>
      </c>
      <c r="D79" s="3" t="s">
        <v>1286</v>
      </c>
      <c r="E79" s="3" t="s">
        <v>24</v>
      </c>
      <c r="F79" s="3" t="s">
        <v>1306</v>
      </c>
      <c r="G79" s="3" t="s">
        <v>203</v>
      </c>
      <c r="H79" s="3" t="s">
        <v>649</v>
      </c>
      <c r="I79" s="3" t="s">
        <v>575</v>
      </c>
    </row>
    <row r="80" customFormat="false" ht="15" hidden="false" customHeight="false" outlineLevel="0" collapsed="false">
      <c r="A80" s="3" t="s">
        <v>1443</v>
      </c>
      <c r="B80" s="3" t="s">
        <v>1444</v>
      </c>
      <c r="C80" s="3" t="s">
        <v>1327</v>
      </c>
      <c r="D80" s="3" t="s">
        <v>1281</v>
      </c>
      <c r="E80" s="3" t="s">
        <v>24</v>
      </c>
      <c r="F80" s="3" t="s">
        <v>1306</v>
      </c>
      <c r="G80" s="3" t="s">
        <v>207</v>
      </c>
      <c r="H80" s="3" t="s">
        <v>651</v>
      </c>
      <c r="I80" s="3" t="s">
        <v>510</v>
      </c>
    </row>
    <row r="81" customFormat="false" ht="15" hidden="false" customHeight="false" outlineLevel="0" collapsed="false">
      <c r="A81" s="3" t="s">
        <v>1445</v>
      </c>
      <c r="B81" s="3" t="s">
        <v>1446</v>
      </c>
      <c r="C81" s="3" t="s">
        <v>1435</v>
      </c>
      <c r="D81" s="3" t="s">
        <v>1281</v>
      </c>
      <c r="E81" s="3" t="s">
        <v>24</v>
      </c>
      <c r="F81" s="3" t="s">
        <v>1335</v>
      </c>
      <c r="G81" s="3" t="s">
        <v>209</v>
      </c>
      <c r="H81" s="3" t="s">
        <v>655</v>
      </c>
      <c r="I81" s="3" t="s">
        <v>535</v>
      </c>
    </row>
    <row r="82" customFormat="false" ht="15" hidden="false" customHeight="false" outlineLevel="0" collapsed="false">
      <c r="A82" s="3" t="s">
        <v>1447</v>
      </c>
      <c r="B82" s="3" t="s">
        <v>1448</v>
      </c>
      <c r="C82" s="3" t="s">
        <v>1364</v>
      </c>
      <c r="D82" s="3" t="s">
        <v>1286</v>
      </c>
      <c r="E82" s="3" t="s">
        <v>24</v>
      </c>
      <c r="F82" s="3" t="s">
        <v>1287</v>
      </c>
      <c r="G82" s="3" t="s">
        <v>211</v>
      </c>
      <c r="H82" s="3" t="s">
        <v>656</v>
      </c>
      <c r="I82" s="3" t="s">
        <v>518</v>
      </c>
    </row>
    <row r="83" customFormat="false" ht="15" hidden="false" customHeight="false" outlineLevel="0" collapsed="false">
      <c r="A83" s="3" t="s">
        <v>1449</v>
      </c>
      <c r="B83" s="3" t="s">
        <v>1450</v>
      </c>
      <c r="C83" s="3" t="s">
        <v>1293</v>
      </c>
      <c r="D83" s="3" t="s">
        <v>1286</v>
      </c>
      <c r="E83" s="3" t="s">
        <v>24</v>
      </c>
      <c r="F83" s="3" t="s">
        <v>1282</v>
      </c>
      <c r="G83" s="3" t="s">
        <v>211</v>
      </c>
      <c r="H83" s="3" t="s">
        <v>656</v>
      </c>
      <c r="I83" s="3" t="s">
        <v>518</v>
      </c>
    </row>
    <row r="84" customFormat="false" ht="15" hidden="false" customHeight="false" outlineLevel="0" collapsed="false">
      <c r="A84" s="3" t="s">
        <v>1451</v>
      </c>
      <c r="B84" s="3" t="s">
        <v>1452</v>
      </c>
      <c r="C84" s="3" t="s">
        <v>1310</v>
      </c>
      <c r="D84" s="3" t="s">
        <v>1286</v>
      </c>
      <c r="E84" s="3" t="s">
        <v>24</v>
      </c>
      <c r="F84" s="3" t="s">
        <v>1282</v>
      </c>
      <c r="G84" s="3" t="s">
        <v>214</v>
      </c>
      <c r="H84" s="3" t="s">
        <v>660</v>
      </c>
      <c r="I84" s="3" t="s">
        <v>526</v>
      </c>
    </row>
    <row r="85" customFormat="false" ht="15" hidden="false" customHeight="false" outlineLevel="0" collapsed="false">
      <c r="A85" s="3" t="s">
        <v>1453</v>
      </c>
      <c r="B85" s="3" t="s">
        <v>1454</v>
      </c>
      <c r="C85" s="3" t="s">
        <v>1455</v>
      </c>
      <c r="D85" s="3" t="s">
        <v>1286</v>
      </c>
      <c r="E85" s="3" t="s">
        <v>24</v>
      </c>
      <c r="F85" s="3" t="s">
        <v>1282</v>
      </c>
      <c r="G85" s="3" t="s">
        <v>216</v>
      </c>
      <c r="H85" s="3" t="s">
        <v>663</v>
      </c>
      <c r="I85" s="3" t="s">
        <v>522</v>
      </c>
    </row>
    <row r="86" customFormat="false" ht="15" hidden="false" customHeight="false" outlineLevel="0" collapsed="false">
      <c r="A86" s="3" t="s">
        <v>1456</v>
      </c>
      <c r="B86" s="3" t="s">
        <v>1457</v>
      </c>
      <c r="C86" s="3" t="s">
        <v>1290</v>
      </c>
      <c r="D86" s="3" t="s">
        <v>1286</v>
      </c>
      <c r="E86" s="3" t="s">
        <v>24</v>
      </c>
      <c r="F86" s="3" t="s">
        <v>1287</v>
      </c>
      <c r="G86" s="3" t="s">
        <v>216</v>
      </c>
      <c r="H86" s="3" t="s">
        <v>663</v>
      </c>
      <c r="I86" s="3" t="s">
        <v>522</v>
      </c>
    </row>
    <row r="87" customFormat="false" ht="15" hidden="false" customHeight="false" outlineLevel="0" collapsed="false">
      <c r="A87" s="3" t="s">
        <v>1458</v>
      </c>
      <c r="B87" s="3" t="s">
        <v>1459</v>
      </c>
      <c r="C87" s="3" t="s">
        <v>1310</v>
      </c>
      <c r="D87" s="3" t="s">
        <v>1286</v>
      </c>
      <c r="E87" s="3" t="s">
        <v>24</v>
      </c>
      <c r="F87" s="3" t="s">
        <v>1282</v>
      </c>
      <c r="G87" s="3" t="s">
        <v>220</v>
      </c>
      <c r="H87" s="3" t="s">
        <v>665</v>
      </c>
      <c r="I87" s="3" t="s">
        <v>524</v>
      </c>
    </row>
    <row r="88" customFormat="false" ht="15" hidden="false" customHeight="false" outlineLevel="0" collapsed="false">
      <c r="A88" s="3" t="s">
        <v>1460</v>
      </c>
      <c r="B88" s="3" t="s">
        <v>1461</v>
      </c>
      <c r="C88" s="3" t="s">
        <v>1364</v>
      </c>
      <c r="D88" s="3" t="s">
        <v>1281</v>
      </c>
      <c r="E88" s="3" t="s">
        <v>24</v>
      </c>
      <c r="F88" s="3" t="s">
        <v>1330</v>
      </c>
      <c r="G88" s="3" t="s">
        <v>220</v>
      </c>
      <c r="H88" s="3" t="s">
        <v>666</v>
      </c>
      <c r="I88" s="3" t="s">
        <v>526</v>
      </c>
    </row>
    <row r="89" customFormat="false" ht="15" hidden="false" customHeight="false" outlineLevel="0" collapsed="false">
      <c r="A89" s="3" t="s">
        <v>1462</v>
      </c>
      <c r="B89" s="3" t="s">
        <v>1463</v>
      </c>
      <c r="C89" s="3" t="s">
        <v>1364</v>
      </c>
      <c r="D89" s="3" t="s">
        <v>1286</v>
      </c>
      <c r="E89" s="3" t="s">
        <v>24</v>
      </c>
      <c r="F89" s="3" t="s">
        <v>1287</v>
      </c>
      <c r="G89" s="3" t="s">
        <v>223</v>
      </c>
      <c r="H89" s="3" t="s">
        <v>668</v>
      </c>
      <c r="I89" s="3" t="s">
        <v>524</v>
      </c>
    </row>
    <row r="90" customFormat="false" ht="15" hidden="false" customHeight="false" outlineLevel="0" collapsed="false">
      <c r="A90" s="3" t="s">
        <v>1464</v>
      </c>
      <c r="B90" s="3" t="s">
        <v>1465</v>
      </c>
      <c r="C90" s="3" t="s">
        <v>1302</v>
      </c>
      <c r="D90" s="3" t="s">
        <v>1281</v>
      </c>
      <c r="E90" s="3" t="s">
        <v>24</v>
      </c>
      <c r="F90" s="3" t="s">
        <v>1335</v>
      </c>
      <c r="G90" s="3" t="s">
        <v>225</v>
      </c>
      <c r="H90" s="3" t="s">
        <v>670</v>
      </c>
      <c r="I90" s="3" t="s">
        <v>552</v>
      </c>
    </row>
    <row r="91" customFormat="false" ht="15" hidden="false" customHeight="false" outlineLevel="0" collapsed="false">
      <c r="A91" s="3" t="s">
        <v>1466</v>
      </c>
      <c r="B91" s="3" t="s">
        <v>1467</v>
      </c>
      <c r="C91" s="3" t="s">
        <v>1364</v>
      </c>
      <c r="D91" s="3" t="s">
        <v>1286</v>
      </c>
      <c r="E91" s="3" t="s">
        <v>24</v>
      </c>
      <c r="F91" s="3" t="s">
        <v>1282</v>
      </c>
      <c r="G91" s="3" t="s">
        <v>225</v>
      </c>
      <c r="H91" s="3" t="s">
        <v>670</v>
      </c>
      <c r="I91" s="3" t="s">
        <v>552</v>
      </c>
    </row>
    <row r="92" customFormat="false" ht="15" hidden="false" customHeight="false" outlineLevel="0" collapsed="false">
      <c r="A92" s="3" t="s">
        <v>1468</v>
      </c>
      <c r="B92" s="3" t="s">
        <v>1469</v>
      </c>
      <c r="C92" s="3" t="s">
        <v>1364</v>
      </c>
      <c r="D92" s="3" t="s">
        <v>1286</v>
      </c>
      <c r="E92" s="3" t="s">
        <v>24</v>
      </c>
      <c r="F92" s="3" t="s">
        <v>1306</v>
      </c>
      <c r="G92" s="3" t="s">
        <v>225</v>
      </c>
      <c r="H92" s="3" t="s">
        <v>670</v>
      </c>
      <c r="I92" s="3" t="s">
        <v>552</v>
      </c>
    </row>
    <row r="93" customFormat="false" ht="15" hidden="false" customHeight="false" outlineLevel="0" collapsed="false">
      <c r="A93" s="3" t="s">
        <v>1470</v>
      </c>
      <c r="B93" s="3" t="s">
        <v>1471</v>
      </c>
      <c r="C93" s="3" t="s">
        <v>1327</v>
      </c>
      <c r="D93" s="3" t="s">
        <v>1281</v>
      </c>
      <c r="E93" s="3" t="s">
        <v>24</v>
      </c>
      <c r="F93" s="3" t="s">
        <v>1282</v>
      </c>
      <c r="G93" s="3" t="s">
        <v>227</v>
      </c>
      <c r="H93" s="3" t="s">
        <v>673</v>
      </c>
      <c r="I93" s="3" t="s">
        <v>518</v>
      </c>
    </row>
    <row r="94" customFormat="false" ht="15" hidden="false" customHeight="false" outlineLevel="0" collapsed="false">
      <c r="A94" s="3" t="s">
        <v>1472</v>
      </c>
      <c r="B94" s="3" t="s">
        <v>1473</v>
      </c>
      <c r="C94" s="3" t="s">
        <v>1474</v>
      </c>
      <c r="D94" s="3" t="s">
        <v>1286</v>
      </c>
      <c r="E94" s="3" t="s">
        <v>24</v>
      </c>
      <c r="F94" s="3" t="s">
        <v>1306</v>
      </c>
      <c r="G94" s="3" t="s">
        <v>227</v>
      </c>
      <c r="H94" s="3" t="s">
        <v>672</v>
      </c>
      <c r="I94" s="3" t="s">
        <v>522</v>
      </c>
    </row>
    <row r="95" customFormat="false" ht="15" hidden="false" customHeight="false" outlineLevel="0" collapsed="false">
      <c r="A95" s="3" t="s">
        <v>1475</v>
      </c>
      <c r="B95" s="3" t="s">
        <v>1473</v>
      </c>
      <c r="C95" s="3" t="s">
        <v>1474</v>
      </c>
      <c r="D95" s="3" t="s">
        <v>1286</v>
      </c>
      <c r="E95" s="3" t="s">
        <v>24</v>
      </c>
      <c r="F95" s="3" t="s">
        <v>1306</v>
      </c>
      <c r="G95" s="3" t="s">
        <v>227</v>
      </c>
      <c r="H95" s="3" t="s">
        <v>673</v>
      </c>
      <c r="I95" s="3" t="s">
        <v>518</v>
      </c>
    </row>
    <row r="96" customFormat="false" ht="15" hidden="false" customHeight="false" outlineLevel="0" collapsed="false">
      <c r="A96" s="3" t="s">
        <v>1476</v>
      </c>
      <c r="B96" s="3" t="s">
        <v>1477</v>
      </c>
      <c r="C96" s="3" t="s">
        <v>1352</v>
      </c>
      <c r="D96" s="3" t="s">
        <v>1286</v>
      </c>
      <c r="E96" s="3" t="s">
        <v>24</v>
      </c>
      <c r="F96" s="3" t="s">
        <v>1306</v>
      </c>
      <c r="G96" s="3" t="s">
        <v>227</v>
      </c>
      <c r="H96" s="3" t="s">
        <v>671</v>
      </c>
      <c r="I96" s="3" t="s">
        <v>538</v>
      </c>
    </row>
    <row r="97" customFormat="false" ht="15" hidden="false" customHeight="false" outlineLevel="0" collapsed="false">
      <c r="A97" s="3" t="s">
        <v>1478</v>
      </c>
      <c r="B97" s="3" t="s">
        <v>1479</v>
      </c>
      <c r="C97" s="3" t="s">
        <v>1319</v>
      </c>
      <c r="D97" s="3" t="s">
        <v>1286</v>
      </c>
      <c r="E97" s="3" t="s">
        <v>24</v>
      </c>
      <c r="F97" s="3" t="s">
        <v>1287</v>
      </c>
      <c r="G97" s="3" t="s">
        <v>229</v>
      </c>
      <c r="H97" s="3" t="s">
        <v>681</v>
      </c>
      <c r="I97" s="3" t="s">
        <v>543</v>
      </c>
    </row>
    <row r="98" customFormat="false" ht="15" hidden="false" customHeight="false" outlineLevel="0" collapsed="false">
      <c r="A98" s="3" t="s">
        <v>1480</v>
      </c>
      <c r="B98" s="3" t="s">
        <v>1481</v>
      </c>
      <c r="C98" s="3" t="s">
        <v>1355</v>
      </c>
      <c r="D98" s="3" t="s">
        <v>1286</v>
      </c>
      <c r="E98" s="3" t="s">
        <v>24</v>
      </c>
      <c r="F98" s="3" t="s">
        <v>1335</v>
      </c>
      <c r="G98" s="3" t="s">
        <v>231</v>
      </c>
      <c r="H98" s="3" t="s">
        <v>682</v>
      </c>
      <c r="I98" s="3" t="s">
        <v>538</v>
      </c>
    </row>
    <row r="99" customFormat="false" ht="15" hidden="false" customHeight="false" outlineLevel="0" collapsed="false">
      <c r="A99" s="3" t="s">
        <v>1482</v>
      </c>
      <c r="B99" s="3" t="s">
        <v>1483</v>
      </c>
      <c r="C99" s="3" t="s">
        <v>1319</v>
      </c>
      <c r="D99" s="3" t="s">
        <v>1286</v>
      </c>
      <c r="E99" s="3" t="s">
        <v>24</v>
      </c>
      <c r="F99" s="3" t="s">
        <v>1306</v>
      </c>
      <c r="G99" s="3" t="s">
        <v>231</v>
      </c>
      <c r="H99" s="3" t="s">
        <v>682</v>
      </c>
      <c r="I99" s="3" t="s">
        <v>538</v>
      </c>
    </row>
    <row r="100" customFormat="false" ht="15" hidden="false" customHeight="false" outlineLevel="0" collapsed="false">
      <c r="A100" s="3" t="s">
        <v>1484</v>
      </c>
      <c r="B100" s="3" t="s">
        <v>1485</v>
      </c>
      <c r="C100" s="3" t="s">
        <v>1327</v>
      </c>
      <c r="D100" s="3" t="s">
        <v>1286</v>
      </c>
      <c r="E100" s="3" t="s">
        <v>24</v>
      </c>
      <c r="F100" s="3" t="s">
        <v>1330</v>
      </c>
      <c r="G100" s="3" t="s">
        <v>236</v>
      </c>
      <c r="H100" s="3" t="s">
        <v>691</v>
      </c>
      <c r="I100" s="3" t="s">
        <v>529</v>
      </c>
    </row>
    <row r="101" customFormat="false" ht="15" hidden="false" customHeight="false" outlineLevel="0" collapsed="false">
      <c r="A101" s="3" t="s">
        <v>1486</v>
      </c>
      <c r="B101" s="3" t="s">
        <v>1487</v>
      </c>
      <c r="C101" s="3" t="s">
        <v>1488</v>
      </c>
      <c r="D101" s="3" t="s">
        <v>1286</v>
      </c>
      <c r="E101" s="3" t="s">
        <v>24</v>
      </c>
      <c r="F101" s="3" t="s">
        <v>1335</v>
      </c>
      <c r="G101" s="3" t="s">
        <v>238</v>
      </c>
      <c r="H101" s="3" t="s">
        <v>696</v>
      </c>
      <c r="I101" s="3" t="s">
        <v>535</v>
      </c>
    </row>
    <row r="102" customFormat="false" ht="15" hidden="false" customHeight="false" outlineLevel="0" collapsed="false">
      <c r="A102" s="3" t="s">
        <v>1489</v>
      </c>
      <c r="B102" s="3" t="s">
        <v>1490</v>
      </c>
      <c r="C102" s="3" t="s">
        <v>1280</v>
      </c>
      <c r="D102" s="3" t="s">
        <v>1281</v>
      </c>
      <c r="E102" s="3" t="s">
        <v>24</v>
      </c>
      <c r="F102" s="3" t="s">
        <v>1282</v>
      </c>
      <c r="G102" s="3" t="s">
        <v>245</v>
      </c>
      <c r="H102" s="3" t="s">
        <v>701</v>
      </c>
      <c r="I102" s="3" t="s">
        <v>524</v>
      </c>
    </row>
    <row r="103" customFormat="false" ht="15" hidden="false" customHeight="false" outlineLevel="0" collapsed="false">
      <c r="A103" s="3" t="s">
        <v>1491</v>
      </c>
      <c r="B103" s="3" t="s">
        <v>1492</v>
      </c>
      <c r="C103" s="3" t="s">
        <v>1293</v>
      </c>
      <c r="D103" s="3" t="s">
        <v>1286</v>
      </c>
      <c r="E103" s="3" t="s">
        <v>24</v>
      </c>
      <c r="F103" s="3" t="s">
        <v>1306</v>
      </c>
      <c r="G103" s="3" t="s">
        <v>248</v>
      </c>
      <c r="H103" s="3" t="s">
        <v>702</v>
      </c>
      <c r="I103" s="3" t="s">
        <v>522</v>
      </c>
    </row>
    <row r="104" customFormat="false" ht="15" hidden="false" customHeight="false" outlineLevel="0" collapsed="false">
      <c r="A104" s="3" t="s">
        <v>1493</v>
      </c>
      <c r="B104" s="3" t="s">
        <v>1492</v>
      </c>
      <c r="C104" s="3" t="s">
        <v>1293</v>
      </c>
      <c r="D104" s="3" t="s">
        <v>1286</v>
      </c>
      <c r="E104" s="3" t="s">
        <v>24</v>
      </c>
      <c r="F104" s="3" t="s">
        <v>1306</v>
      </c>
      <c r="G104" s="3" t="s">
        <v>248</v>
      </c>
      <c r="H104" s="3" t="s">
        <v>704</v>
      </c>
      <c r="I104" s="3" t="s">
        <v>538</v>
      </c>
    </row>
    <row r="105" customFormat="false" ht="15" hidden="false" customHeight="false" outlineLevel="0" collapsed="false">
      <c r="A105" s="3" t="s">
        <v>1494</v>
      </c>
      <c r="B105" s="3" t="s">
        <v>1495</v>
      </c>
      <c r="C105" s="3" t="s">
        <v>1364</v>
      </c>
      <c r="D105" s="3" t="s">
        <v>1286</v>
      </c>
      <c r="E105" s="3" t="s">
        <v>24</v>
      </c>
      <c r="F105" s="3" t="s">
        <v>1306</v>
      </c>
      <c r="G105" s="3" t="s">
        <v>248</v>
      </c>
      <c r="H105" s="3" t="s">
        <v>704</v>
      </c>
      <c r="I105" s="3" t="s">
        <v>538</v>
      </c>
    </row>
    <row r="106" customFormat="false" ht="15" hidden="false" customHeight="false" outlineLevel="0" collapsed="false">
      <c r="A106" s="3" t="s">
        <v>1496</v>
      </c>
      <c r="B106" s="3" t="s">
        <v>1495</v>
      </c>
      <c r="C106" s="3" t="s">
        <v>1364</v>
      </c>
      <c r="D106" s="3" t="s">
        <v>1286</v>
      </c>
      <c r="E106" s="3" t="s">
        <v>24</v>
      </c>
      <c r="F106" s="3" t="s">
        <v>1306</v>
      </c>
      <c r="G106" s="3" t="s">
        <v>248</v>
      </c>
      <c r="H106" s="3" t="s">
        <v>702</v>
      </c>
      <c r="I106" s="3" t="s">
        <v>522</v>
      </c>
    </row>
    <row r="107" customFormat="false" ht="15" hidden="false" customHeight="false" outlineLevel="0" collapsed="false">
      <c r="A107" s="3" t="s">
        <v>1497</v>
      </c>
      <c r="B107" s="3" t="s">
        <v>1498</v>
      </c>
      <c r="C107" s="3" t="s">
        <v>1285</v>
      </c>
      <c r="D107" s="3" t="s">
        <v>1286</v>
      </c>
      <c r="E107" s="3" t="s">
        <v>24</v>
      </c>
      <c r="F107" s="3" t="s">
        <v>1282</v>
      </c>
      <c r="G107" s="3" t="s">
        <v>251</v>
      </c>
      <c r="H107" s="3" t="s">
        <v>714</v>
      </c>
      <c r="I107" s="3" t="s">
        <v>516</v>
      </c>
    </row>
    <row r="108" customFormat="false" ht="15" hidden="false" customHeight="false" outlineLevel="0" collapsed="false">
      <c r="A108" s="3" t="s">
        <v>1499</v>
      </c>
      <c r="B108" s="3" t="s">
        <v>1500</v>
      </c>
      <c r="C108" s="3" t="s">
        <v>1396</v>
      </c>
      <c r="D108" s="3" t="s">
        <v>1286</v>
      </c>
      <c r="E108" s="3" t="s">
        <v>24</v>
      </c>
      <c r="F108" s="3" t="s">
        <v>1282</v>
      </c>
      <c r="G108" s="3" t="s">
        <v>251</v>
      </c>
      <c r="H108" s="3" t="s">
        <v>708</v>
      </c>
      <c r="I108" s="3" t="s">
        <v>529</v>
      </c>
    </row>
    <row r="109" customFormat="false" ht="15" hidden="false" customHeight="false" outlineLevel="0" collapsed="false">
      <c r="A109" s="3" t="s">
        <v>1501</v>
      </c>
      <c r="B109" s="3" t="s">
        <v>1502</v>
      </c>
      <c r="C109" s="3" t="s">
        <v>1327</v>
      </c>
      <c r="D109" s="3" t="s">
        <v>1286</v>
      </c>
      <c r="E109" s="3" t="s">
        <v>24</v>
      </c>
      <c r="F109" s="3" t="s">
        <v>1287</v>
      </c>
      <c r="G109" s="3" t="s">
        <v>254</v>
      </c>
      <c r="H109" s="3" t="s">
        <v>717</v>
      </c>
      <c r="I109" s="3" t="s">
        <v>522</v>
      </c>
    </row>
    <row r="110" customFormat="false" ht="15" hidden="false" customHeight="false" outlineLevel="0" collapsed="false">
      <c r="A110" s="3" t="s">
        <v>1503</v>
      </c>
      <c r="B110" s="3" t="s">
        <v>1504</v>
      </c>
      <c r="C110" s="3" t="s">
        <v>1455</v>
      </c>
      <c r="D110" s="3" t="s">
        <v>1286</v>
      </c>
      <c r="E110" s="3" t="s">
        <v>24</v>
      </c>
      <c r="F110" s="3" t="s">
        <v>1306</v>
      </c>
      <c r="G110" s="3" t="s">
        <v>255</v>
      </c>
      <c r="H110" s="3" t="s">
        <v>719</v>
      </c>
      <c r="I110" s="3" t="s">
        <v>535</v>
      </c>
    </row>
    <row r="111" customFormat="false" ht="15" hidden="false" customHeight="false" outlineLevel="0" collapsed="false">
      <c r="A111" s="3" t="s">
        <v>1505</v>
      </c>
      <c r="B111" s="3" t="s">
        <v>1506</v>
      </c>
      <c r="C111" s="3" t="s">
        <v>1364</v>
      </c>
      <c r="D111" s="3" t="s">
        <v>1281</v>
      </c>
      <c r="E111" s="3" t="s">
        <v>24</v>
      </c>
      <c r="F111" s="3" t="s">
        <v>1306</v>
      </c>
      <c r="G111" s="3" t="s">
        <v>258</v>
      </c>
      <c r="H111" s="3" t="s">
        <v>721</v>
      </c>
      <c r="I111" s="3" t="s">
        <v>516</v>
      </c>
    </row>
    <row r="112" customFormat="false" ht="15" hidden="false" customHeight="false" outlineLevel="0" collapsed="false">
      <c r="A112" s="3" t="s">
        <v>1507</v>
      </c>
      <c r="B112" s="3" t="s">
        <v>1508</v>
      </c>
      <c r="C112" s="3" t="s">
        <v>1302</v>
      </c>
      <c r="D112" s="3" t="s">
        <v>1281</v>
      </c>
      <c r="E112" s="3" t="s">
        <v>24</v>
      </c>
      <c r="F112" s="3" t="s">
        <v>1330</v>
      </c>
      <c r="G112" s="3" t="s">
        <v>263</v>
      </c>
      <c r="H112" s="3" t="s">
        <v>731</v>
      </c>
      <c r="I112" s="3" t="s">
        <v>510</v>
      </c>
    </row>
    <row r="113" customFormat="false" ht="15" hidden="false" customHeight="false" outlineLevel="0" collapsed="false">
      <c r="A113" s="3" t="s">
        <v>1509</v>
      </c>
      <c r="B113" s="3" t="s">
        <v>1510</v>
      </c>
      <c r="C113" s="3" t="s">
        <v>1280</v>
      </c>
      <c r="D113" s="3" t="s">
        <v>1286</v>
      </c>
      <c r="E113" s="3" t="s">
        <v>24</v>
      </c>
      <c r="F113" s="3" t="s">
        <v>1287</v>
      </c>
      <c r="G113" s="3" t="s">
        <v>263</v>
      </c>
      <c r="H113" s="3" t="s">
        <v>731</v>
      </c>
      <c r="I113" s="3" t="s">
        <v>510</v>
      </c>
    </row>
    <row r="114" customFormat="false" ht="15" hidden="false" customHeight="false" outlineLevel="0" collapsed="false">
      <c r="A114" s="3" t="s">
        <v>1511</v>
      </c>
      <c r="B114" s="3" t="s">
        <v>1512</v>
      </c>
      <c r="C114" s="3" t="s">
        <v>1302</v>
      </c>
      <c r="D114" s="3" t="s">
        <v>1286</v>
      </c>
      <c r="E114" s="3" t="s">
        <v>24</v>
      </c>
      <c r="F114" s="3" t="s">
        <v>1306</v>
      </c>
      <c r="G114" s="3" t="s">
        <v>263</v>
      </c>
      <c r="H114" s="3" t="s">
        <v>732</v>
      </c>
      <c r="I114" s="3" t="s">
        <v>516</v>
      </c>
    </row>
    <row r="115" customFormat="false" ht="15" hidden="false" customHeight="false" outlineLevel="0" collapsed="false">
      <c r="A115" s="3" t="s">
        <v>1513</v>
      </c>
      <c r="B115" s="3" t="s">
        <v>1514</v>
      </c>
      <c r="C115" s="3" t="s">
        <v>1334</v>
      </c>
      <c r="D115" s="3" t="s">
        <v>1286</v>
      </c>
      <c r="E115" s="3" t="s">
        <v>24</v>
      </c>
      <c r="F115" s="3" t="s">
        <v>1282</v>
      </c>
      <c r="G115" s="3" t="s">
        <v>265</v>
      </c>
      <c r="H115" s="3" t="s">
        <v>735</v>
      </c>
      <c r="I115" s="3" t="s">
        <v>518</v>
      </c>
    </row>
    <row r="116" customFormat="false" ht="15" hidden="false" customHeight="false" outlineLevel="0" collapsed="false">
      <c r="A116" s="3" t="s">
        <v>1515</v>
      </c>
      <c r="B116" s="3" t="s">
        <v>1514</v>
      </c>
      <c r="C116" s="3" t="s">
        <v>1334</v>
      </c>
      <c r="D116" s="3" t="s">
        <v>1286</v>
      </c>
      <c r="E116" s="3" t="s">
        <v>24</v>
      </c>
      <c r="F116" s="3" t="s">
        <v>1282</v>
      </c>
      <c r="G116" s="3" t="s">
        <v>265</v>
      </c>
      <c r="H116" s="3" t="s">
        <v>733</v>
      </c>
      <c r="I116" s="3" t="s">
        <v>526</v>
      </c>
    </row>
    <row r="117" customFormat="false" ht="15" hidden="false" customHeight="false" outlineLevel="0" collapsed="false">
      <c r="A117" s="3" t="s">
        <v>1516</v>
      </c>
      <c r="B117" s="3" t="s">
        <v>1517</v>
      </c>
      <c r="C117" s="3" t="s">
        <v>1290</v>
      </c>
      <c r="D117" s="3" t="s">
        <v>1286</v>
      </c>
      <c r="E117" s="3" t="s">
        <v>24</v>
      </c>
      <c r="F117" s="3" t="s">
        <v>1330</v>
      </c>
      <c r="G117" s="3" t="s">
        <v>268</v>
      </c>
      <c r="H117" s="3" t="s">
        <v>741</v>
      </c>
      <c r="I117" s="3" t="s">
        <v>543</v>
      </c>
    </row>
    <row r="118" customFormat="false" ht="15" hidden="false" customHeight="false" outlineLevel="0" collapsed="false">
      <c r="A118" s="3" t="s">
        <v>1518</v>
      </c>
      <c r="B118" s="3" t="s">
        <v>1517</v>
      </c>
      <c r="C118" s="3" t="s">
        <v>1290</v>
      </c>
      <c r="D118" s="3" t="s">
        <v>1286</v>
      </c>
      <c r="E118" s="3" t="s">
        <v>24</v>
      </c>
      <c r="F118" s="3" t="s">
        <v>1330</v>
      </c>
      <c r="G118" s="3" t="s">
        <v>268</v>
      </c>
      <c r="H118" s="3" t="s">
        <v>746</v>
      </c>
      <c r="I118" s="3" t="s">
        <v>516</v>
      </c>
    </row>
    <row r="119" customFormat="false" ht="15" hidden="false" customHeight="false" outlineLevel="0" collapsed="false">
      <c r="A119" s="3" t="s">
        <v>1519</v>
      </c>
      <c r="B119" s="3" t="s">
        <v>1520</v>
      </c>
      <c r="C119" s="3" t="s">
        <v>1314</v>
      </c>
      <c r="D119" s="3" t="s">
        <v>1286</v>
      </c>
      <c r="E119" s="3" t="s">
        <v>24</v>
      </c>
      <c r="F119" s="3" t="s">
        <v>1306</v>
      </c>
      <c r="G119" s="3" t="s">
        <v>270</v>
      </c>
      <c r="H119" s="3" t="s">
        <v>747</v>
      </c>
      <c r="I119" s="3" t="s">
        <v>522</v>
      </c>
    </row>
    <row r="120" customFormat="false" ht="15" hidden="false" customHeight="false" outlineLevel="0" collapsed="false">
      <c r="A120" s="3" t="s">
        <v>1521</v>
      </c>
      <c r="B120" s="3" t="s">
        <v>1522</v>
      </c>
      <c r="C120" s="3" t="s">
        <v>1314</v>
      </c>
      <c r="D120" s="3" t="s">
        <v>1281</v>
      </c>
      <c r="E120" s="3" t="s">
        <v>272</v>
      </c>
      <c r="F120" s="3" t="s">
        <v>1330</v>
      </c>
      <c r="G120" s="3" t="s">
        <v>271</v>
      </c>
      <c r="H120" s="3" t="s">
        <v>754</v>
      </c>
      <c r="I120" s="3" t="s">
        <v>526</v>
      </c>
    </row>
    <row r="121" customFormat="false" ht="15" hidden="false" customHeight="false" outlineLevel="0" collapsed="false">
      <c r="A121" s="3" t="s">
        <v>1523</v>
      </c>
      <c r="B121" s="3" t="s">
        <v>1522</v>
      </c>
      <c r="C121" s="3" t="s">
        <v>1314</v>
      </c>
      <c r="D121" s="3" t="s">
        <v>1281</v>
      </c>
      <c r="E121" s="3" t="s">
        <v>272</v>
      </c>
      <c r="F121" s="3" t="s">
        <v>1330</v>
      </c>
      <c r="G121" s="3" t="s">
        <v>271</v>
      </c>
      <c r="H121" s="3" t="s">
        <v>756</v>
      </c>
      <c r="I121" s="3" t="s">
        <v>535</v>
      </c>
    </row>
    <row r="122" customFormat="false" ht="15" hidden="false" customHeight="false" outlineLevel="0" collapsed="false">
      <c r="A122" s="3" t="s">
        <v>1524</v>
      </c>
      <c r="B122" s="3" t="s">
        <v>1525</v>
      </c>
      <c r="C122" s="3" t="s">
        <v>1431</v>
      </c>
      <c r="D122" s="3" t="s">
        <v>1281</v>
      </c>
      <c r="E122" s="3" t="s">
        <v>272</v>
      </c>
      <c r="F122" s="3" t="s">
        <v>1306</v>
      </c>
      <c r="G122" s="3" t="s">
        <v>273</v>
      </c>
      <c r="H122" s="3" t="s">
        <v>759</v>
      </c>
      <c r="I122" s="3" t="s">
        <v>548</v>
      </c>
    </row>
    <row r="123" customFormat="false" ht="15" hidden="false" customHeight="false" outlineLevel="0" collapsed="false">
      <c r="A123" s="3" t="s">
        <v>1526</v>
      </c>
      <c r="B123" s="3" t="s">
        <v>1527</v>
      </c>
      <c r="C123" s="3" t="s">
        <v>1386</v>
      </c>
      <c r="D123" s="3" t="s">
        <v>1286</v>
      </c>
      <c r="E123" s="3" t="s">
        <v>272</v>
      </c>
      <c r="F123" s="3" t="s">
        <v>1306</v>
      </c>
      <c r="G123" s="3" t="s">
        <v>273</v>
      </c>
      <c r="H123" s="3" t="s">
        <v>759</v>
      </c>
      <c r="I123" s="3" t="s">
        <v>548</v>
      </c>
    </row>
    <row r="124" customFormat="false" ht="15" hidden="false" customHeight="false" outlineLevel="0" collapsed="false">
      <c r="A124" s="3" t="s">
        <v>1528</v>
      </c>
      <c r="B124" s="3" t="s">
        <v>1529</v>
      </c>
      <c r="C124" s="3" t="s">
        <v>1435</v>
      </c>
      <c r="D124" s="3" t="s">
        <v>1286</v>
      </c>
      <c r="E124" s="3" t="s">
        <v>272</v>
      </c>
      <c r="F124" s="3" t="s">
        <v>1282</v>
      </c>
      <c r="G124" s="3" t="s">
        <v>273</v>
      </c>
      <c r="H124" s="3" t="s">
        <v>759</v>
      </c>
      <c r="I124" s="3" t="s">
        <v>548</v>
      </c>
    </row>
    <row r="125" customFormat="false" ht="15" hidden="false" customHeight="false" outlineLevel="0" collapsed="false">
      <c r="A125" s="3" t="s">
        <v>1530</v>
      </c>
      <c r="B125" s="3" t="s">
        <v>1531</v>
      </c>
      <c r="C125" s="3" t="s">
        <v>1532</v>
      </c>
      <c r="D125" s="3" t="s">
        <v>1281</v>
      </c>
      <c r="E125" s="3" t="s">
        <v>272</v>
      </c>
      <c r="F125" s="3" t="s">
        <v>1335</v>
      </c>
      <c r="G125" s="3" t="s">
        <v>275</v>
      </c>
      <c r="H125" s="3" t="s">
        <v>760</v>
      </c>
      <c r="I125" s="3" t="s">
        <v>552</v>
      </c>
    </row>
    <row r="126" customFormat="false" ht="15" hidden="false" customHeight="false" outlineLevel="0" collapsed="false">
      <c r="A126" s="3" t="s">
        <v>1533</v>
      </c>
      <c r="B126" s="3" t="s">
        <v>1534</v>
      </c>
      <c r="C126" s="3" t="s">
        <v>1290</v>
      </c>
      <c r="D126" s="3" t="s">
        <v>1286</v>
      </c>
      <c r="E126" s="3" t="s">
        <v>272</v>
      </c>
      <c r="F126" s="3" t="s">
        <v>1306</v>
      </c>
      <c r="G126" s="3" t="s">
        <v>275</v>
      </c>
      <c r="H126" s="3" t="s">
        <v>760</v>
      </c>
      <c r="I126" s="3" t="s">
        <v>552</v>
      </c>
    </row>
    <row r="127" customFormat="false" ht="15" hidden="false" customHeight="false" outlineLevel="0" collapsed="false">
      <c r="A127" s="3" t="s">
        <v>1535</v>
      </c>
      <c r="B127" s="3" t="s">
        <v>1536</v>
      </c>
      <c r="C127" s="3" t="s">
        <v>1364</v>
      </c>
      <c r="D127" s="3" t="s">
        <v>1281</v>
      </c>
      <c r="E127" s="3" t="s">
        <v>272</v>
      </c>
      <c r="F127" s="3" t="s">
        <v>1282</v>
      </c>
      <c r="G127" s="3" t="s">
        <v>276</v>
      </c>
      <c r="H127" s="3" t="s">
        <v>761</v>
      </c>
      <c r="I127" s="3" t="s">
        <v>510</v>
      </c>
    </row>
    <row r="128" customFormat="false" ht="15" hidden="false" customHeight="false" outlineLevel="0" collapsed="false">
      <c r="A128" s="3" t="s">
        <v>1537</v>
      </c>
      <c r="B128" s="3" t="s">
        <v>1538</v>
      </c>
      <c r="C128" s="3" t="s">
        <v>1298</v>
      </c>
      <c r="D128" s="3" t="s">
        <v>1286</v>
      </c>
      <c r="E128" s="3" t="s">
        <v>272</v>
      </c>
      <c r="F128" s="3" t="s">
        <v>1335</v>
      </c>
      <c r="G128" s="3" t="s">
        <v>278</v>
      </c>
      <c r="H128" s="3" t="s">
        <v>762</v>
      </c>
      <c r="I128" s="3" t="s">
        <v>575</v>
      </c>
    </row>
    <row r="129" customFormat="false" ht="15" hidden="false" customHeight="false" outlineLevel="0" collapsed="false">
      <c r="A129" s="3" t="s">
        <v>1539</v>
      </c>
      <c r="B129" s="3" t="s">
        <v>1540</v>
      </c>
      <c r="C129" s="3" t="s">
        <v>1314</v>
      </c>
      <c r="D129" s="3" t="s">
        <v>1286</v>
      </c>
      <c r="E129" s="3" t="s">
        <v>272</v>
      </c>
      <c r="F129" s="3" t="s">
        <v>1306</v>
      </c>
      <c r="G129" s="3" t="s">
        <v>280</v>
      </c>
      <c r="H129" s="3" t="s">
        <v>764</v>
      </c>
      <c r="I129" s="3" t="s">
        <v>543</v>
      </c>
    </row>
    <row r="130" customFormat="false" ht="15" hidden="false" customHeight="false" outlineLevel="0" collapsed="false">
      <c r="A130" s="3" t="s">
        <v>1541</v>
      </c>
      <c r="B130" s="3" t="s">
        <v>1540</v>
      </c>
      <c r="C130" s="3" t="s">
        <v>1314</v>
      </c>
      <c r="D130" s="3" t="s">
        <v>1286</v>
      </c>
      <c r="E130" s="3" t="s">
        <v>272</v>
      </c>
      <c r="F130" s="3" t="s">
        <v>1306</v>
      </c>
      <c r="G130" s="3" t="s">
        <v>280</v>
      </c>
      <c r="H130" s="3" t="s">
        <v>766</v>
      </c>
      <c r="I130" s="3" t="s">
        <v>552</v>
      </c>
    </row>
    <row r="131" customFormat="false" ht="15" hidden="false" customHeight="false" outlineLevel="0" collapsed="false">
      <c r="A131" s="3" t="s">
        <v>1542</v>
      </c>
      <c r="B131" s="3" t="s">
        <v>1543</v>
      </c>
      <c r="C131" s="3" t="s">
        <v>1474</v>
      </c>
      <c r="D131" s="3" t="s">
        <v>1281</v>
      </c>
      <c r="E131" s="3" t="s">
        <v>272</v>
      </c>
      <c r="F131" s="3" t="s">
        <v>1335</v>
      </c>
      <c r="G131" s="3" t="s">
        <v>280</v>
      </c>
      <c r="H131" s="3" t="s">
        <v>763</v>
      </c>
      <c r="I131" s="3" t="s">
        <v>510</v>
      </c>
    </row>
    <row r="132" customFormat="false" ht="15" hidden="false" customHeight="false" outlineLevel="0" collapsed="false">
      <c r="A132" s="3" t="s">
        <v>1544</v>
      </c>
      <c r="B132" s="3" t="s">
        <v>1543</v>
      </c>
      <c r="C132" s="3" t="s">
        <v>1474</v>
      </c>
      <c r="D132" s="3" t="s">
        <v>1281</v>
      </c>
      <c r="E132" s="3" t="s">
        <v>272</v>
      </c>
      <c r="F132" s="3" t="s">
        <v>1335</v>
      </c>
      <c r="G132" s="3" t="s">
        <v>280</v>
      </c>
      <c r="H132" s="3" t="s">
        <v>766</v>
      </c>
      <c r="I132" s="3" t="s">
        <v>552</v>
      </c>
    </row>
    <row r="133" customFormat="false" ht="15" hidden="false" customHeight="false" outlineLevel="0" collapsed="false">
      <c r="A133" s="3" t="s">
        <v>1545</v>
      </c>
      <c r="B133" s="3" t="s">
        <v>1543</v>
      </c>
      <c r="C133" s="3" t="s">
        <v>1474</v>
      </c>
      <c r="D133" s="3" t="s">
        <v>1281</v>
      </c>
      <c r="E133" s="3" t="s">
        <v>272</v>
      </c>
      <c r="F133" s="3" t="s">
        <v>1335</v>
      </c>
      <c r="G133" s="3" t="s">
        <v>280</v>
      </c>
      <c r="H133" s="3" t="s">
        <v>765</v>
      </c>
      <c r="I133" s="3" t="s">
        <v>531</v>
      </c>
    </row>
    <row r="134" customFormat="false" ht="15" hidden="false" customHeight="false" outlineLevel="0" collapsed="false">
      <c r="A134" s="3" t="s">
        <v>1546</v>
      </c>
      <c r="B134" s="3" t="s">
        <v>1547</v>
      </c>
      <c r="C134" s="3" t="s">
        <v>1402</v>
      </c>
      <c r="D134" s="3" t="s">
        <v>1281</v>
      </c>
      <c r="E134" s="3" t="s">
        <v>272</v>
      </c>
      <c r="F134" s="3" t="s">
        <v>1282</v>
      </c>
      <c r="G134" s="3" t="s">
        <v>283</v>
      </c>
      <c r="H134" s="3" t="s">
        <v>773</v>
      </c>
      <c r="I134" s="3" t="s">
        <v>529</v>
      </c>
    </row>
    <row r="135" customFormat="false" ht="15" hidden="false" customHeight="false" outlineLevel="0" collapsed="false">
      <c r="A135" s="3" t="s">
        <v>1548</v>
      </c>
      <c r="B135" s="3" t="s">
        <v>1549</v>
      </c>
      <c r="C135" s="3" t="s">
        <v>1298</v>
      </c>
      <c r="D135" s="3" t="s">
        <v>1286</v>
      </c>
      <c r="E135" s="3" t="s">
        <v>272</v>
      </c>
      <c r="F135" s="3" t="s">
        <v>1282</v>
      </c>
      <c r="G135" s="3" t="s">
        <v>283</v>
      </c>
      <c r="H135" s="3" t="s">
        <v>775</v>
      </c>
      <c r="I135" s="3" t="s">
        <v>522</v>
      </c>
    </row>
    <row r="136" customFormat="false" ht="15" hidden="false" customHeight="false" outlineLevel="0" collapsed="false">
      <c r="A136" s="3" t="s">
        <v>1550</v>
      </c>
      <c r="B136" s="3" t="s">
        <v>1549</v>
      </c>
      <c r="C136" s="3" t="s">
        <v>1298</v>
      </c>
      <c r="D136" s="3" t="s">
        <v>1286</v>
      </c>
      <c r="E136" s="3" t="s">
        <v>272</v>
      </c>
      <c r="F136" s="3" t="s">
        <v>1282</v>
      </c>
      <c r="G136" s="3" t="s">
        <v>283</v>
      </c>
      <c r="H136" s="3" t="s">
        <v>773</v>
      </c>
      <c r="I136" s="3" t="s">
        <v>529</v>
      </c>
    </row>
    <row r="137" customFormat="false" ht="15" hidden="false" customHeight="false" outlineLevel="0" collapsed="false">
      <c r="A137" s="3" t="s">
        <v>1551</v>
      </c>
      <c r="B137" s="3" t="s">
        <v>1552</v>
      </c>
      <c r="C137" s="3" t="s">
        <v>1327</v>
      </c>
      <c r="D137" s="3" t="s">
        <v>1286</v>
      </c>
      <c r="E137" s="3" t="s">
        <v>272</v>
      </c>
      <c r="F137" s="3" t="s">
        <v>1287</v>
      </c>
      <c r="G137" s="3" t="s">
        <v>285</v>
      </c>
      <c r="H137" s="3" t="s">
        <v>777</v>
      </c>
      <c r="I137" s="3" t="s">
        <v>516</v>
      </c>
    </row>
    <row r="138" customFormat="false" ht="15" hidden="false" customHeight="false" outlineLevel="0" collapsed="false">
      <c r="A138" s="3" t="s">
        <v>1553</v>
      </c>
      <c r="B138" s="3" t="s">
        <v>1554</v>
      </c>
      <c r="C138" s="3" t="s">
        <v>1314</v>
      </c>
      <c r="D138" s="3" t="s">
        <v>1286</v>
      </c>
      <c r="E138" s="3" t="s">
        <v>272</v>
      </c>
      <c r="F138" s="3" t="s">
        <v>1330</v>
      </c>
      <c r="G138" s="3" t="s">
        <v>285</v>
      </c>
      <c r="H138" s="3" t="s">
        <v>777</v>
      </c>
      <c r="I138" s="3" t="s">
        <v>516</v>
      </c>
    </row>
    <row r="139" customFormat="false" ht="15" hidden="false" customHeight="false" outlineLevel="0" collapsed="false">
      <c r="A139" s="3" t="s">
        <v>1555</v>
      </c>
      <c r="B139" s="3" t="s">
        <v>1556</v>
      </c>
      <c r="C139" s="3" t="s">
        <v>1334</v>
      </c>
      <c r="D139" s="3" t="s">
        <v>1281</v>
      </c>
      <c r="E139" s="3" t="s">
        <v>272</v>
      </c>
      <c r="F139" s="3" t="s">
        <v>1282</v>
      </c>
      <c r="G139" s="3" t="s">
        <v>287</v>
      </c>
      <c r="H139" s="3" t="s">
        <v>782</v>
      </c>
      <c r="I139" s="3" t="s">
        <v>552</v>
      </c>
    </row>
    <row r="140" customFormat="false" ht="15" hidden="false" customHeight="false" outlineLevel="0" collapsed="false">
      <c r="A140" s="3" t="s">
        <v>1557</v>
      </c>
      <c r="B140" s="3" t="s">
        <v>1558</v>
      </c>
      <c r="C140" s="3" t="s">
        <v>1302</v>
      </c>
      <c r="D140" s="3" t="s">
        <v>1286</v>
      </c>
      <c r="E140" s="3" t="s">
        <v>272</v>
      </c>
      <c r="F140" s="3" t="s">
        <v>1335</v>
      </c>
      <c r="G140" s="3" t="s">
        <v>288</v>
      </c>
      <c r="H140" s="3" t="s">
        <v>783</v>
      </c>
      <c r="I140" s="3" t="s">
        <v>529</v>
      </c>
    </row>
    <row r="141" customFormat="false" ht="15" hidden="false" customHeight="false" outlineLevel="0" collapsed="false">
      <c r="A141" s="3" t="s">
        <v>1559</v>
      </c>
      <c r="B141" s="3" t="s">
        <v>1560</v>
      </c>
      <c r="C141" s="3" t="s">
        <v>1310</v>
      </c>
      <c r="D141" s="3" t="s">
        <v>1286</v>
      </c>
      <c r="E141" s="3" t="s">
        <v>272</v>
      </c>
      <c r="F141" s="3" t="s">
        <v>1282</v>
      </c>
      <c r="G141" s="3" t="s">
        <v>289</v>
      </c>
      <c r="H141" s="3" t="s">
        <v>784</v>
      </c>
      <c r="I141" s="3" t="s">
        <v>575</v>
      </c>
    </row>
    <row r="142" customFormat="false" ht="15" hidden="false" customHeight="false" outlineLevel="0" collapsed="false">
      <c r="A142" s="3" t="s">
        <v>1561</v>
      </c>
      <c r="B142" s="3" t="s">
        <v>1560</v>
      </c>
      <c r="C142" s="3" t="s">
        <v>1310</v>
      </c>
      <c r="D142" s="3" t="s">
        <v>1286</v>
      </c>
      <c r="E142" s="3" t="s">
        <v>272</v>
      </c>
      <c r="F142" s="3" t="s">
        <v>1282</v>
      </c>
      <c r="G142" s="3" t="s">
        <v>289</v>
      </c>
      <c r="H142" s="3" t="s">
        <v>786</v>
      </c>
      <c r="I142" s="3" t="s">
        <v>540</v>
      </c>
    </row>
    <row r="143" customFormat="false" ht="15" hidden="false" customHeight="false" outlineLevel="0" collapsed="false">
      <c r="A143" s="3" t="s">
        <v>1562</v>
      </c>
      <c r="B143" s="3" t="s">
        <v>1563</v>
      </c>
      <c r="C143" s="3" t="s">
        <v>1310</v>
      </c>
      <c r="D143" s="3" t="s">
        <v>1281</v>
      </c>
      <c r="E143" s="3" t="s">
        <v>272</v>
      </c>
      <c r="F143" s="3" t="s">
        <v>1282</v>
      </c>
      <c r="G143" s="3" t="s">
        <v>289</v>
      </c>
      <c r="H143" s="3" t="s">
        <v>784</v>
      </c>
      <c r="I143" s="3" t="s">
        <v>575</v>
      </c>
    </row>
    <row r="144" customFormat="false" ht="15" hidden="false" customHeight="false" outlineLevel="0" collapsed="false">
      <c r="A144" s="3" t="s">
        <v>1564</v>
      </c>
      <c r="B144" s="3" t="s">
        <v>1565</v>
      </c>
      <c r="C144" s="3" t="s">
        <v>1293</v>
      </c>
      <c r="D144" s="3" t="s">
        <v>1281</v>
      </c>
      <c r="E144" s="3" t="s">
        <v>272</v>
      </c>
      <c r="F144" s="3" t="s">
        <v>1282</v>
      </c>
      <c r="G144" s="3" t="s">
        <v>291</v>
      </c>
      <c r="H144" s="3" t="s">
        <v>787</v>
      </c>
      <c r="I144" s="3" t="s">
        <v>564</v>
      </c>
    </row>
    <row r="145" customFormat="false" ht="15" hidden="false" customHeight="false" outlineLevel="0" collapsed="false">
      <c r="A145" s="3" t="s">
        <v>1566</v>
      </c>
      <c r="B145" s="3" t="s">
        <v>1567</v>
      </c>
      <c r="C145" s="3" t="s">
        <v>1364</v>
      </c>
      <c r="D145" s="3" t="s">
        <v>1281</v>
      </c>
      <c r="E145" s="3" t="s">
        <v>272</v>
      </c>
      <c r="F145" s="3" t="s">
        <v>1282</v>
      </c>
      <c r="G145" s="3" t="s">
        <v>294</v>
      </c>
      <c r="H145" s="3" t="s">
        <v>791</v>
      </c>
      <c r="I145" s="3" t="s">
        <v>526</v>
      </c>
    </row>
    <row r="146" customFormat="false" ht="15" hidden="false" customHeight="false" outlineLevel="0" collapsed="false">
      <c r="A146" s="3" t="s">
        <v>1568</v>
      </c>
      <c r="B146" s="3" t="s">
        <v>1569</v>
      </c>
      <c r="C146" s="3" t="s">
        <v>1364</v>
      </c>
      <c r="D146" s="3" t="s">
        <v>1286</v>
      </c>
      <c r="E146" s="3" t="s">
        <v>272</v>
      </c>
      <c r="F146" s="3" t="s">
        <v>1335</v>
      </c>
      <c r="G146" s="3" t="s">
        <v>294</v>
      </c>
      <c r="H146" s="3" t="s">
        <v>792</v>
      </c>
      <c r="I146" s="3" t="s">
        <v>518</v>
      </c>
    </row>
    <row r="147" customFormat="false" ht="15" hidden="false" customHeight="false" outlineLevel="0" collapsed="false">
      <c r="A147" s="3" t="s">
        <v>1570</v>
      </c>
      <c r="B147" s="3" t="s">
        <v>1569</v>
      </c>
      <c r="C147" s="3" t="s">
        <v>1364</v>
      </c>
      <c r="D147" s="3" t="s">
        <v>1286</v>
      </c>
      <c r="E147" s="3" t="s">
        <v>272</v>
      </c>
      <c r="F147" s="3" t="s">
        <v>1335</v>
      </c>
      <c r="G147" s="3" t="s">
        <v>294</v>
      </c>
      <c r="H147" s="3" t="s">
        <v>789</v>
      </c>
      <c r="I147" s="3" t="s">
        <v>510</v>
      </c>
    </row>
    <row r="148" customFormat="false" ht="15" hidden="false" customHeight="false" outlineLevel="0" collapsed="false">
      <c r="A148" s="3" t="s">
        <v>1571</v>
      </c>
      <c r="B148" s="3" t="s">
        <v>1569</v>
      </c>
      <c r="C148" s="3" t="s">
        <v>1364</v>
      </c>
      <c r="D148" s="3" t="s">
        <v>1286</v>
      </c>
      <c r="E148" s="3" t="s">
        <v>272</v>
      </c>
      <c r="F148" s="3" t="s">
        <v>1335</v>
      </c>
      <c r="G148" s="3" t="s">
        <v>294</v>
      </c>
      <c r="H148" s="3" t="s">
        <v>791</v>
      </c>
      <c r="I148" s="3" t="s">
        <v>526</v>
      </c>
    </row>
    <row r="149" customFormat="false" ht="15" hidden="false" customHeight="false" outlineLevel="0" collapsed="false">
      <c r="A149" s="3" t="s">
        <v>1572</v>
      </c>
      <c r="B149" s="3" t="s">
        <v>1573</v>
      </c>
      <c r="C149" s="3" t="s">
        <v>1455</v>
      </c>
      <c r="D149" s="3" t="s">
        <v>1281</v>
      </c>
      <c r="E149" s="3" t="s">
        <v>272</v>
      </c>
      <c r="F149" s="3" t="s">
        <v>1282</v>
      </c>
      <c r="G149" s="3" t="s">
        <v>296</v>
      </c>
      <c r="H149" s="3" t="s">
        <v>797</v>
      </c>
      <c r="I149" s="3" t="s">
        <v>510</v>
      </c>
    </row>
    <row r="150" customFormat="false" ht="15" hidden="false" customHeight="false" outlineLevel="0" collapsed="false">
      <c r="A150" s="3" t="s">
        <v>1574</v>
      </c>
      <c r="B150" s="3" t="s">
        <v>1575</v>
      </c>
      <c r="C150" s="3" t="s">
        <v>1455</v>
      </c>
      <c r="D150" s="3" t="s">
        <v>1286</v>
      </c>
      <c r="E150" s="3" t="s">
        <v>272</v>
      </c>
      <c r="F150" s="3" t="s">
        <v>1282</v>
      </c>
      <c r="G150" s="3" t="s">
        <v>296</v>
      </c>
      <c r="H150" s="3" t="s">
        <v>795</v>
      </c>
      <c r="I150" s="3" t="s">
        <v>540</v>
      </c>
    </row>
    <row r="151" customFormat="false" ht="15" hidden="false" customHeight="false" outlineLevel="0" collapsed="false">
      <c r="A151" s="3" t="s">
        <v>1576</v>
      </c>
      <c r="B151" s="3" t="s">
        <v>1575</v>
      </c>
      <c r="C151" s="3" t="s">
        <v>1455</v>
      </c>
      <c r="D151" s="3" t="s">
        <v>1286</v>
      </c>
      <c r="E151" s="3" t="s">
        <v>272</v>
      </c>
      <c r="F151" s="3" t="s">
        <v>1282</v>
      </c>
      <c r="G151" s="3" t="s">
        <v>296</v>
      </c>
      <c r="H151" s="3" t="s">
        <v>793</v>
      </c>
      <c r="I151" s="3" t="s">
        <v>526</v>
      </c>
    </row>
    <row r="152" customFormat="false" ht="15" hidden="false" customHeight="false" outlineLevel="0" collapsed="false">
      <c r="A152" s="3" t="s">
        <v>1577</v>
      </c>
      <c r="B152" s="3" t="s">
        <v>1578</v>
      </c>
      <c r="C152" s="3" t="s">
        <v>1431</v>
      </c>
      <c r="D152" s="3" t="s">
        <v>1286</v>
      </c>
      <c r="E152" s="3" t="s">
        <v>272</v>
      </c>
      <c r="F152" s="3" t="s">
        <v>1306</v>
      </c>
      <c r="G152" s="3" t="s">
        <v>299</v>
      </c>
      <c r="H152" s="3" t="s">
        <v>799</v>
      </c>
      <c r="I152" s="3" t="s">
        <v>564</v>
      </c>
    </row>
    <row r="153" customFormat="false" ht="15" hidden="false" customHeight="false" outlineLevel="0" collapsed="false">
      <c r="A153" s="3" t="s">
        <v>1579</v>
      </c>
      <c r="B153" s="3" t="s">
        <v>1580</v>
      </c>
      <c r="C153" s="3" t="s">
        <v>1435</v>
      </c>
      <c r="D153" s="3" t="s">
        <v>1286</v>
      </c>
      <c r="E153" s="3" t="s">
        <v>272</v>
      </c>
      <c r="F153" s="3" t="s">
        <v>1287</v>
      </c>
      <c r="G153" s="3" t="s">
        <v>299</v>
      </c>
      <c r="H153" s="3" t="s">
        <v>799</v>
      </c>
      <c r="I153" s="3" t="s">
        <v>564</v>
      </c>
    </row>
    <row r="154" customFormat="false" ht="15" hidden="false" customHeight="false" outlineLevel="0" collapsed="false">
      <c r="A154" s="3" t="s">
        <v>1581</v>
      </c>
      <c r="B154" s="3" t="s">
        <v>1582</v>
      </c>
      <c r="C154" s="3" t="s">
        <v>1386</v>
      </c>
      <c r="D154" s="3" t="s">
        <v>1286</v>
      </c>
      <c r="E154" s="3" t="s">
        <v>272</v>
      </c>
      <c r="F154" s="3" t="s">
        <v>1306</v>
      </c>
      <c r="G154" s="3" t="s">
        <v>302</v>
      </c>
      <c r="H154" s="3" t="s">
        <v>800</v>
      </c>
      <c r="I154" s="3" t="s">
        <v>526</v>
      </c>
    </row>
    <row r="155" customFormat="false" ht="15" hidden="false" customHeight="false" outlineLevel="0" collapsed="false">
      <c r="A155" s="3" t="s">
        <v>1583</v>
      </c>
      <c r="B155" s="3" t="s">
        <v>1582</v>
      </c>
      <c r="C155" s="3" t="s">
        <v>1386</v>
      </c>
      <c r="D155" s="3" t="s">
        <v>1286</v>
      </c>
      <c r="E155" s="3" t="s">
        <v>272</v>
      </c>
      <c r="F155" s="3" t="s">
        <v>1306</v>
      </c>
      <c r="G155" s="3" t="s">
        <v>302</v>
      </c>
      <c r="H155" s="3" t="s">
        <v>801</v>
      </c>
      <c r="I155" s="3" t="s">
        <v>510</v>
      </c>
    </row>
    <row r="156" customFormat="false" ht="15" hidden="false" customHeight="false" outlineLevel="0" collapsed="false">
      <c r="A156" s="3" t="s">
        <v>1584</v>
      </c>
      <c r="B156" s="3" t="s">
        <v>1582</v>
      </c>
      <c r="C156" s="3" t="s">
        <v>1386</v>
      </c>
      <c r="D156" s="3" t="s">
        <v>1286</v>
      </c>
      <c r="E156" s="3" t="s">
        <v>272</v>
      </c>
      <c r="F156" s="3" t="s">
        <v>1306</v>
      </c>
      <c r="G156" s="3" t="s">
        <v>302</v>
      </c>
      <c r="H156" s="3" t="s">
        <v>802</v>
      </c>
      <c r="I156" s="3" t="s">
        <v>548</v>
      </c>
    </row>
    <row r="157" customFormat="false" ht="15" hidden="false" customHeight="false" outlineLevel="0" collapsed="false">
      <c r="A157" s="3" t="s">
        <v>1585</v>
      </c>
      <c r="B157" s="3" t="s">
        <v>1586</v>
      </c>
      <c r="C157" s="3" t="s">
        <v>1587</v>
      </c>
      <c r="D157" s="3" t="s">
        <v>1281</v>
      </c>
      <c r="E157" s="3" t="s">
        <v>272</v>
      </c>
      <c r="F157" s="3" t="s">
        <v>1330</v>
      </c>
      <c r="G157" s="3" t="s">
        <v>302</v>
      </c>
      <c r="H157" s="3" t="s">
        <v>800</v>
      </c>
      <c r="I157" s="3" t="s">
        <v>526</v>
      </c>
    </row>
    <row r="158" customFormat="false" ht="15" hidden="false" customHeight="false" outlineLevel="0" collapsed="false">
      <c r="A158" s="3" t="s">
        <v>1588</v>
      </c>
      <c r="B158" s="3" t="s">
        <v>1589</v>
      </c>
      <c r="C158" s="3" t="s">
        <v>1302</v>
      </c>
      <c r="D158" s="3" t="s">
        <v>1281</v>
      </c>
      <c r="E158" s="3" t="s">
        <v>272</v>
      </c>
      <c r="F158" s="3" t="s">
        <v>1306</v>
      </c>
      <c r="G158" s="3" t="s">
        <v>303</v>
      </c>
      <c r="H158" s="3" t="s">
        <v>804</v>
      </c>
      <c r="I158" s="3" t="s">
        <v>548</v>
      </c>
    </row>
    <row r="159" customFormat="false" ht="15" hidden="false" customHeight="false" outlineLevel="0" collapsed="false">
      <c r="A159" s="3" t="s">
        <v>1590</v>
      </c>
      <c r="B159" s="3" t="s">
        <v>1589</v>
      </c>
      <c r="C159" s="3" t="s">
        <v>1302</v>
      </c>
      <c r="D159" s="3" t="s">
        <v>1281</v>
      </c>
      <c r="E159" s="3" t="s">
        <v>272</v>
      </c>
      <c r="F159" s="3" t="s">
        <v>1306</v>
      </c>
      <c r="G159" s="3" t="s">
        <v>303</v>
      </c>
      <c r="H159" s="3" t="s">
        <v>803</v>
      </c>
      <c r="I159" s="3" t="s">
        <v>516</v>
      </c>
    </row>
    <row r="160" customFormat="false" ht="15" hidden="false" customHeight="false" outlineLevel="0" collapsed="false">
      <c r="A160" s="3" t="s">
        <v>1591</v>
      </c>
      <c r="B160" s="3" t="s">
        <v>1592</v>
      </c>
      <c r="C160" s="3" t="s">
        <v>1280</v>
      </c>
      <c r="D160" s="3" t="s">
        <v>1286</v>
      </c>
      <c r="E160" s="3" t="s">
        <v>272</v>
      </c>
      <c r="F160" s="3" t="s">
        <v>1330</v>
      </c>
      <c r="G160" s="3" t="s">
        <v>303</v>
      </c>
      <c r="H160" s="3" t="s">
        <v>803</v>
      </c>
      <c r="I160" s="3" t="s">
        <v>516</v>
      </c>
    </row>
    <row r="161" customFormat="false" ht="15" hidden="false" customHeight="false" outlineLevel="0" collapsed="false">
      <c r="A161" s="3" t="s">
        <v>1593</v>
      </c>
      <c r="B161" s="3" t="s">
        <v>1592</v>
      </c>
      <c r="C161" s="3" t="s">
        <v>1280</v>
      </c>
      <c r="D161" s="3" t="s">
        <v>1286</v>
      </c>
      <c r="E161" s="3" t="s">
        <v>272</v>
      </c>
      <c r="F161" s="3" t="s">
        <v>1330</v>
      </c>
      <c r="G161" s="3" t="s">
        <v>303</v>
      </c>
      <c r="H161" s="3" t="s">
        <v>804</v>
      </c>
      <c r="I161" s="3" t="s">
        <v>548</v>
      </c>
    </row>
    <row r="162" customFormat="false" ht="15" hidden="false" customHeight="false" outlineLevel="0" collapsed="false">
      <c r="A162" s="3" t="s">
        <v>1594</v>
      </c>
      <c r="B162" s="3" t="s">
        <v>1595</v>
      </c>
      <c r="C162" s="3" t="s">
        <v>1334</v>
      </c>
      <c r="D162" s="3" t="s">
        <v>1286</v>
      </c>
      <c r="E162" s="3" t="s">
        <v>272</v>
      </c>
      <c r="F162" s="3" t="s">
        <v>1287</v>
      </c>
      <c r="G162" s="3" t="s">
        <v>304</v>
      </c>
      <c r="H162" s="3" t="s">
        <v>805</v>
      </c>
      <c r="I162" s="3" t="s">
        <v>564</v>
      </c>
    </row>
    <row r="163" customFormat="false" ht="15" hidden="false" customHeight="false" outlineLevel="0" collapsed="false">
      <c r="A163" s="3" t="s">
        <v>1596</v>
      </c>
      <c r="B163" s="3" t="s">
        <v>1597</v>
      </c>
      <c r="C163" s="3" t="s">
        <v>1352</v>
      </c>
      <c r="D163" s="3" t="s">
        <v>1286</v>
      </c>
      <c r="E163" s="3" t="s">
        <v>272</v>
      </c>
      <c r="F163" s="3" t="s">
        <v>1282</v>
      </c>
      <c r="G163" s="3" t="s">
        <v>304</v>
      </c>
      <c r="H163" s="3" t="s">
        <v>807</v>
      </c>
      <c r="I163" s="3" t="s">
        <v>524</v>
      </c>
    </row>
    <row r="164" customFormat="false" ht="15" hidden="false" customHeight="false" outlineLevel="0" collapsed="false">
      <c r="A164" s="3" t="s">
        <v>1598</v>
      </c>
      <c r="B164" s="3" t="s">
        <v>1597</v>
      </c>
      <c r="C164" s="3" t="s">
        <v>1352</v>
      </c>
      <c r="D164" s="3" t="s">
        <v>1286</v>
      </c>
      <c r="E164" s="3" t="s">
        <v>272</v>
      </c>
      <c r="F164" s="3" t="s">
        <v>1282</v>
      </c>
      <c r="G164" s="3" t="s">
        <v>304</v>
      </c>
      <c r="H164" s="3" t="s">
        <v>810</v>
      </c>
      <c r="I164" s="3" t="s">
        <v>538</v>
      </c>
    </row>
    <row r="165" customFormat="false" ht="15" hidden="false" customHeight="false" outlineLevel="0" collapsed="false">
      <c r="A165" s="3" t="s">
        <v>1599</v>
      </c>
      <c r="B165" s="3" t="s">
        <v>1600</v>
      </c>
      <c r="C165" s="3" t="s">
        <v>1327</v>
      </c>
      <c r="D165" s="3" t="s">
        <v>1286</v>
      </c>
      <c r="E165" s="3" t="s">
        <v>272</v>
      </c>
      <c r="F165" s="3" t="s">
        <v>1282</v>
      </c>
      <c r="G165" s="3" t="s">
        <v>304</v>
      </c>
      <c r="H165" s="3" t="s">
        <v>805</v>
      </c>
      <c r="I165" s="3" t="s">
        <v>564</v>
      </c>
    </row>
    <row r="166" customFormat="false" ht="15" hidden="false" customHeight="false" outlineLevel="0" collapsed="false">
      <c r="A166" s="3" t="s">
        <v>1601</v>
      </c>
      <c r="B166" s="3" t="s">
        <v>1600</v>
      </c>
      <c r="C166" s="3" t="s">
        <v>1327</v>
      </c>
      <c r="D166" s="3" t="s">
        <v>1286</v>
      </c>
      <c r="E166" s="3" t="s">
        <v>272</v>
      </c>
      <c r="F166" s="3" t="s">
        <v>1282</v>
      </c>
      <c r="G166" s="3" t="s">
        <v>304</v>
      </c>
      <c r="H166" s="3" t="s">
        <v>810</v>
      </c>
      <c r="I166" s="3" t="s">
        <v>538</v>
      </c>
    </row>
    <row r="167" customFormat="false" ht="15" hidden="false" customHeight="false" outlineLevel="0" collapsed="false">
      <c r="A167" s="3" t="s">
        <v>1602</v>
      </c>
      <c r="B167" s="3" t="s">
        <v>1603</v>
      </c>
      <c r="C167" s="3" t="s">
        <v>1355</v>
      </c>
      <c r="D167" s="3" t="s">
        <v>1286</v>
      </c>
      <c r="E167" s="3" t="s">
        <v>272</v>
      </c>
      <c r="F167" s="3" t="s">
        <v>1306</v>
      </c>
      <c r="G167" s="3" t="s">
        <v>308</v>
      </c>
      <c r="H167" s="3" t="s">
        <v>818</v>
      </c>
      <c r="I167" s="3" t="s">
        <v>548</v>
      </c>
    </row>
    <row r="168" customFormat="false" ht="15" hidden="false" customHeight="false" outlineLevel="0" collapsed="false">
      <c r="A168" s="3" t="s">
        <v>1604</v>
      </c>
      <c r="B168" s="3" t="s">
        <v>1603</v>
      </c>
      <c r="C168" s="3" t="s">
        <v>1355</v>
      </c>
      <c r="D168" s="3" t="s">
        <v>1286</v>
      </c>
      <c r="E168" s="3" t="s">
        <v>272</v>
      </c>
      <c r="F168" s="3" t="s">
        <v>1306</v>
      </c>
      <c r="G168" s="3" t="s">
        <v>308</v>
      </c>
      <c r="H168" s="3" t="s">
        <v>819</v>
      </c>
      <c r="I168" s="3" t="s">
        <v>552</v>
      </c>
    </row>
    <row r="169" customFormat="false" ht="15" hidden="false" customHeight="false" outlineLevel="0" collapsed="false">
      <c r="A169" s="3" t="s">
        <v>1605</v>
      </c>
      <c r="B169" s="3" t="s">
        <v>1606</v>
      </c>
      <c r="C169" s="3" t="s">
        <v>1488</v>
      </c>
      <c r="D169" s="3" t="s">
        <v>1281</v>
      </c>
      <c r="E169" s="3" t="s">
        <v>272</v>
      </c>
      <c r="F169" s="3" t="s">
        <v>1306</v>
      </c>
      <c r="G169" s="3" t="s">
        <v>310</v>
      </c>
      <c r="H169" s="3" t="s">
        <v>823</v>
      </c>
      <c r="I169" s="3" t="s">
        <v>564</v>
      </c>
    </row>
    <row r="170" customFormat="false" ht="15" hidden="false" customHeight="false" outlineLevel="0" collapsed="false">
      <c r="A170" s="3" t="s">
        <v>1607</v>
      </c>
      <c r="B170" s="3" t="s">
        <v>1608</v>
      </c>
      <c r="C170" s="3" t="s">
        <v>1532</v>
      </c>
      <c r="D170" s="3" t="s">
        <v>1286</v>
      </c>
      <c r="E170" s="3" t="s">
        <v>272</v>
      </c>
      <c r="F170" s="3" t="s">
        <v>1282</v>
      </c>
      <c r="G170" s="3" t="s">
        <v>310</v>
      </c>
      <c r="H170" s="3" t="s">
        <v>823</v>
      </c>
      <c r="I170" s="3" t="s">
        <v>564</v>
      </c>
    </row>
    <row r="171" customFormat="false" ht="15" hidden="false" customHeight="false" outlineLevel="0" collapsed="false">
      <c r="A171" s="3" t="s">
        <v>1609</v>
      </c>
      <c r="B171" s="3" t="s">
        <v>1608</v>
      </c>
      <c r="C171" s="3" t="s">
        <v>1532</v>
      </c>
      <c r="D171" s="3" t="s">
        <v>1286</v>
      </c>
      <c r="E171" s="3" t="s">
        <v>272</v>
      </c>
      <c r="F171" s="3" t="s">
        <v>1282</v>
      </c>
      <c r="G171" s="3" t="s">
        <v>310</v>
      </c>
      <c r="H171" s="3" t="s">
        <v>820</v>
      </c>
      <c r="I171" s="3" t="s">
        <v>575</v>
      </c>
    </row>
    <row r="172" customFormat="false" ht="15" hidden="false" customHeight="false" outlineLevel="0" collapsed="false">
      <c r="A172" s="3" t="s">
        <v>1610</v>
      </c>
      <c r="B172" s="3" t="s">
        <v>1611</v>
      </c>
      <c r="C172" s="3" t="s">
        <v>1323</v>
      </c>
      <c r="D172" s="3" t="s">
        <v>1286</v>
      </c>
      <c r="E172" s="3" t="s">
        <v>272</v>
      </c>
      <c r="F172" s="3" t="s">
        <v>1282</v>
      </c>
      <c r="G172" s="3" t="s">
        <v>312</v>
      </c>
      <c r="H172" s="3" t="s">
        <v>826</v>
      </c>
      <c r="I172" s="3" t="s">
        <v>516</v>
      </c>
    </row>
    <row r="173" customFormat="false" ht="15" hidden="false" customHeight="false" outlineLevel="0" collapsed="false">
      <c r="A173" s="3" t="s">
        <v>1612</v>
      </c>
      <c r="B173" s="3" t="s">
        <v>1613</v>
      </c>
      <c r="C173" s="3" t="s">
        <v>1285</v>
      </c>
      <c r="D173" s="3" t="s">
        <v>1286</v>
      </c>
      <c r="E173" s="3" t="s">
        <v>272</v>
      </c>
      <c r="F173" s="3" t="s">
        <v>1330</v>
      </c>
      <c r="G173" s="3" t="s">
        <v>313</v>
      </c>
      <c r="H173" s="3" t="s">
        <v>827</v>
      </c>
      <c r="I173" s="3" t="s">
        <v>529</v>
      </c>
    </row>
    <row r="174" customFormat="false" ht="15" hidden="false" customHeight="false" outlineLevel="0" collapsed="false">
      <c r="A174" s="3" t="s">
        <v>1614</v>
      </c>
      <c r="B174" s="3" t="s">
        <v>1613</v>
      </c>
      <c r="C174" s="3" t="s">
        <v>1285</v>
      </c>
      <c r="D174" s="3" t="s">
        <v>1286</v>
      </c>
      <c r="E174" s="3" t="s">
        <v>272</v>
      </c>
      <c r="F174" s="3" t="s">
        <v>1330</v>
      </c>
      <c r="G174" s="3" t="s">
        <v>313</v>
      </c>
      <c r="H174" s="3" t="s">
        <v>828</v>
      </c>
      <c r="I174" s="3" t="s">
        <v>535</v>
      </c>
    </row>
    <row r="175" customFormat="false" ht="15" hidden="false" customHeight="false" outlineLevel="0" collapsed="false">
      <c r="A175" s="3" t="s">
        <v>1615</v>
      </c>
      <c r="B175" s="3" t="s">
        <v>1616</v>
      </c>
      <c r="C175" s="3" t="s">
        <v>1310</v>
      </c>
      <c r="D175" s="3" t="s">
        <v>1281</v>
      </c>
      <c r="E175" s="3" t="s">
        <v>272</v>
      </c>
      <c r="F175" s="3" t="s">
        <v>1330</v>
      </c>
      <c r="G175" s="3" t="s">
        <v>315</v>
      </c>
      <c r="H175" s="3" t="s">
        <v>833</v>
      </c>
      <c r="I175" s="3" t="s">
        <v>564</v>
      </c>
    </row>
    <row r="176" customFormat="false" ht="15" hidden="false" customHeight="false" outlineLevel="0" collapsed="false">
      <c r="A176" s="3" t="s">
        <v>1617</v>
      </c>
      <c r="B176" s="3" t="s">
        <v>1616</v>
      </c>
      <c r="C176" s="3" t="s">
        <v>1310</v>
      </c>
      <c r="D176" s="3" t="s">
        <v>1281</v>
      </c>
      <c r="E176" s="3" t="s">
        <v>272</v>
      </c>
      <c r="F176" s="3" t="s">
        <v>1330</v>
      </c>
      <c r="G176" s="3" t="s">
        <v>315</v>
      </c>
      <c r="H176" s="3" t="s">
        <v>832</v>
      </c>
      <c r="I176" s="3" t="s">
        <v>575</v>
      </c>
    </row>
    <row r="177" customFormat="false" ht="15" hidden="false" customHeight="false" outlineLevel="0" collapsed="false">
      <c r="A177" s="3" t="s">
        <v>1618</v>
      </c>
      <c r="B177" s="3" t="s">
        <v>1619</v>
      </c>
      <c r="C177" s="3" t="s">
        <v>1532</v>
      </c>
      <c r="D177" s="3" t="s">
        <v>1286</v>
      </c>
      <c r="E177" s="3" t="s">
        <v>272</v>
      </c>
      <c r="F177" s="3" t="s">
        <v>1330</v>
      </c>
      <c r="G177" s="3" t="s">
        <v>317</v>
      </c>
      <c r="H177" s="3" t="s">
        <v>837</v>
      </c>
      <c r="I177" s="3" t="s">
        <v>529</v>
      </c>
    </row>
    <row r="178" customFormat="false" ht="15" hidden="false" customHeight="false" outlineLevel="0" collapsed="false">
      <c r="A178" s="3" t="s">
        <v>1620</v>
      </c>
      <c r="B178" s="3" t="s">
        <v>1619</v>
      </c>
      <c r="C178" s="3" t="s">
        <v>1532</v>
      </c>
      <c r="D178" s="3" t="s">
        <v>1286</v>
      </c>
      <c r="E178" s="3" t="s">
        <v>272</v>
      </c>
      <c r="F178" s="3" t="s">
        <v>1330</v>
      </c>
      <c r="G178" s="3" t="s">
        <v>317</v>
      </c>
      <c r="H178" s="3" t="s">
        <v>839</v>
      </c>
      <c r="I178" s="3" t="s">
        <v>535</v>
      </c>
    </row>
    <row r="179" customFormat="false" ht="15" hidden="false" customHeight="false" outlineLevel="0" collapsed="false">
      <c r="A179" s="3" t="s">
        <v>1621</v>
      </c>
      <c r="B179" s="3" t="s">
        <v>1619</v>
      </c>
      <c r="C179" s="3" t="s">
        <v>1532</v>
      </c>
      <c r="D179" s="3" t="s">
        <v>1286</v>
      </c>
      <c r="E179" s="3" t="s">
        <v>272</v>
      </c>
      <c r="F179" s="3" t="s">
        <v>1330</v>
      </c>
      <c r="G179" s="3" t="s">
        <v>317</v>
      </c>
      <c r="H179" s="3" t="s">
        <v>838</v>
      </c>
      <c r="I179" s="3" t="s">
        <v>538</v>
      </c>
    </row>
    <row r="180" customFormat="false" ht="15" hidden="false" customHeight="false" outlineLevel="0" collapsed="false">
      <c r="A180" s="3" t="s">
        <v>1622</v>
      </c>
      <c r="B180" s="3" t="s">
        <v>1623</v>
      </c>
      <c r="C180" s="3" t="s">
        <v>1455</v>
      </c>
      <c r="D180" s="3" t="s">
        <v>1281</v>
      </c>
      <c r="E180" s="3" t="s">
        <v>272</v>
      </c>
      <c r="F180" s="3" t="s">
        <v>1330</v>
      </c>
      <c r="G180" s="3" t="s">
        <v>317</v>
      </c>
      <c r="H180" s="3" t="s">
        <v>839</v>
      </c>
      <c r="I180" s="3" t="s">
        <v>535</v>
      </c>
    </row>
    <row r="181" customFormat="false" ht="15" hidden="false" customHeight="false" outlineLevel="0" collapsed="false">
      <c r="A181" s="3" t="s">
        <v>1624</v>
      </c>
      <c r="B181" s="3" t="s">
        <v>1623</v>
      </c>
      <c r="C181" s="3" t="s">
        <v>1455</v>
      </c>
      <c r="D181" s="3" t="s">
        <v>1281</v>
      </c>
      <c r="E181" s="3" t="s">
        <v>272</v>
      </c>
      <c r="F181" s="3" t="s">
        <v>1330</v>
      </c>
      <c r="G181" s="3" t="s">
        <v>317</v>
      </c>
      <c r="H181" s="3" t="s">
        <v>836</v>
      </c>
      <c r="I181" s="3" t="s">
        <v>531</v>
      </c>
    </row>
    <row r="182" customFormat="false" ht="15" hidden="false" customHeight="false" outlineLevel="0" collapsed="false">
      <c r="A182" s="3" t="s">
        <v>1625</v>
      </c>
      <c r="B182" s="3" t="s">
        <v>1623</v>
      </c>
      <c r="C182" s="3" t="s">
        <v>1455</v>
      </c>
      <c r="D182" s="3" t="s">
        <v>1281</v>
      </c>
      <c r="E182" s="3" t="s">
        <v>272</v>
      </c>
      <c r="F182" s="3" t="s">
        <v>1330</v>
      </c>
      <c r="G182" s="3" t="s">
        <v>317</v>
      </c>
      <c r="H182" s="3" t="s">
        <v>838</v>
      </c>
      <c r="I182" s="3" t="s">
        <v>538</v>
      </c>
    </row>
    <row r="183" customFormat="false" ht="15" hidden="false" customHeight="false" outlineLevel="0" collapsed="false">
      <c r="A183" s="3" t="s">
        <v>1626</v>
      </c>
      <c r="B183" s="3" t="s">
        <v>1627</v>
      </c>
      <c r="C183" s="3" t="s">
        <v>1334</v>
      </c>
      <c r="D183" s="3" t="s">
        <v>1281</v>
      </c>
      <c r="E183" s="3" t="s">
        <v>272</v>
      </c>
      <c r="F183" s="3" t="s">
        <v>1287</v>
      </c>
      <c r="G183" s="3" t="s">
        <v>319</v>
      </c>
      <c r="H183" s="3" t="s">
        <v>850</v>
      </c>
      <c r="I183" s="3" t="s">
        <v>575</v>
      </c>
    </row>
    <row r="184" customFormat="false" ht="15" hidden="false" customHeight="false" outlineLevel="0" collapsed="false">
      <c r="A184" s="3" t="s">
        <v>1628</v>
      </c>
      <c r="B184" s="3" t="s">
        <v>1629</v>
      </c>
      <c r="C184" s="3" t="s">
        <v>1314</v>
      </c>
      <c r="D184" s="3" t="s">
        <v>1281</v>
      </c>
      <c r="E184" s="3" t="s">
        <v>272</v>
      </c>
      <c r="F184" s="3" t="s">
        <v>1287</v>
      </c>
      <c r="G184" s="3" t="s">
        <v>319</v>
      </c>
      <c r="H184" s="3" t="s">
        <v>852</v>
      </c>
      <c r="I184" s="3" t="s">
        <v>529</v>
      </c>
    </row>
    <row r="185" customFormat="false" ht="15" hidden="false" customHeight="false" outlineLevel="0" collapsed="false">
      <c r="A185" s="3" t="s">
        <v>1630</v>
      </c>
      <c r="B185" s="3" t="s">
        <v>1631</v>
      </c>
      <c r="C185" s="3" t="s">
        <v>1334</v>
      </c>
      <c r="D185" s="3" t="s">
        <v>1286</v>
      </c>
      <c r="E185" s="3" t="s">
        <v>272</v>
      </c>
      <c r="F185" s="3" t="s">
        <v>1330</v>
      </c>
      <c r="G185" s="3" t="s">
        <v>319</v>
      </c>
      <c r="H185" s="3" t="s">
        <v>849</v>
      </c>
      <c r="I185" s="3" t="s">
        <v>552</v>
      </c>
    </row>
    <row r="186" customFormat="false" ht="15" hidden="false" customHeight="false" outlineLevel="0" collapsed="false">
      <c r="A186" s="3" t="s">
        <v>1632</v>
      </c>
      <c r="B186" s="3" t="s">
        <v>1631</v>
      </c>
      <c r="C186" s="3" t="s">
        <v>1334</v>
      </c>
      <c r="D186" s="3" t="s">
        <v>1286</v>
      </c>
      <c r="E186" s="3" t="s">
        <v>272</v>
      </c>
      <c r="F186" s="3" t="s">
        <v>1330</v>
      </c>
      <c r="G186" s="3" t="s">
        <v>319</v>
      </c>
      <c r="H186" s="3" t="s">
        <v>848</v>
      </c>
      <c r="I186" s="3" t="s">
        <v>526</v>
      </c>
    </row>
    <row r="187" customFormat="false" ht="15" hidden="false" customHeight="false" outlineLevel="0" collapsed="false">
      <c r="A187" s="3" t="s">
        <v>1633</v>
      </c>
      <c r="B187" s="3" t="s">
        <v>1634</v>
      </c>
      <c r="C187" s="3" t="s">
        <v>1474</v>
      </c>
      <c r="D187" s="3" t="s">
        <v>1286</v>
      </c>
      <c r="E187" s="3" t="s">
        <v>272</v>
      </c>
      <c r="F187" s="3" t="s">
        <v>1330</v>
      </c>
      <c r="G187" s="3" t="s">
        <v>320</v>
      </c>
      <c r="H187" s="3" t="s">
        <v>858</v>
      </c>
      <c r="I187" s="3" t="s">
        <v>529</v>
      </c>
    </row>
    <row r="188" customFormat="false" ht="15" hidden="false" customHeight="false" outlineLevel="0" collapsed="false">
      <c r="A188" s="3" t="s">
        <v>1635</v>
      </c>
      <c r="B188" s="3" t="s">
        <v>1636</v>
      </c>
      <c r="C188" s="3" t="s">
        <v>1327</v>
      </c>
      <c r="D188" s="3" t="s">
        <v>1286</v>
      </c>
      <c r="E188" s="3" t="s">
        <v>272</v>
      </c>
      <c r="F188" s="3" t="s">
        <v>1306</v>
      </c>
      <c r="G188" s="3" t="s">
        <v>320</v>
      </c>
      <c r="H188" s="3" t="s">
        <v>857</v>
      </c>
      <c r="I188" s="3" t="s">
        <v>564</v>
      </c>
    </row>
    <row r="189" customFormat="false" ht="15" hidden="false" customHeight="false" outlineLevel="0" collapsed="false">
      <c r="A189" s="3" t="s">
        <v>1637</v>
      </c>
      <c r="B189" s="3" t="s">
        <v>1636</v>
      </c>
      <c r="C189" s="3" t="s">
        <v>1327</v>
      </c>
      <c r="D189" s="3" t="s">
        <v>1286</v>
      </c>
      <c r="E189" s="3" t="s">
        <v>272</v>
      </c>
      <c r="F189" s="3" t="s">
        <v>1306</v>
      </c>
      <c r="G189" s="3" t="s">
        <v>320</v>
      </c>
      <c r="H189" s="3" t="s">
        <v>855</v>
      </c>
      <c r="I189" s="3" t="s">
        <v>518</v>
      </c>
    </row>
    <row r="190" customFormat="false" ht="15" hidden="false" customHeight="false" outlineLevel="0" collapsed="false">
      <c r="A190" s="3" t="s">
        <v>1638</v>
      </c>
      <c r="B190" s="3" t="s">
        <v>1636</v>
      </c>
      <c r="C190" s="3" t="s">
        <v>1327</v>
      </c>
      <c r="D190" s="3" t="s">
        <v>1286</v>
      </c>
      <c r="E190" s="3" t="s">
        <v>272</v>
      </c>
      <c r="F190" s="3" t="s">
        <v>1306</v>
      </c>
      <c r="G190" s="3" t="s">
        <v>320</v>
      </c>
      <c r="H190" s="3" t="s">
        <v>858</v>
      </c>
      <c r="I190" s="3" t="s">
        <v>529</v>
      </c>
    </row>
    <row r="191" customFormat="false" ht="15" hidden="false" customHeight="false" outlineLevel="0" collapsed="false">
      <c r="A191" s="3" t="s">
        <v>1639</v>
      </c>
      <c r="B191" s="3" t="s">
        <v>1640</v>
      </c>
      <c r="C191" s="3" t="s">
        <v>1396</v>
      </c>
      <c r="D191" s="3" t="s">
        <v>1286</v>
      </c>
      <c r="E191" s="3" t="s">
        <v>272</v>
      </c>
      <c r="F191" s="3" t="s">
        <v>1330</v>
      </c>
      <c r="G191" s="3" t="s">
        <v>321</v>
      </c>
      <c r="H191" s="3" t="s">
        <v>859</v>
      </c>
      <c r="I191" s="3" t="s">
        <v>531</v>
      </c>
    </row>
    <row r="192" customFormat="false" ht="15" hidden="false" customHeight="false" outlineLevel="0" collapsed="false">
      <c r="A192" s="3" t="s">
        <v>1641</v>
      </c>
      <c r="B192" s="3" t="s">
        <v>1642</v>
      </c>
      <c r="C192" s="3" t="s">
        <v>1302</v>
      </c>
      <c r="D192" s="3" t="s">
        <v>1281</v>
      </c>
      <c r="E192" s="3" t="s">
        <v>272</v>
      </c>
      <c r="F192" s="3" t="s">
        <v>1282</v>
      </c>
      <c r="G192" s="3" t="s">
        <v>321</v>
      </c>
      <c r="H192" s="3" t="s">
        <v>859</v>
      </c>
      <c r="I192" s="3" t="s">
        <v>531</v>
      </c>
    </row>
    <row r="193" customFormat="false" ht="15" hidden="false" customHeight="false" outlineLevel="0" collapsed="false">
      <c r="A193" s="3" t="s">
        <v>1643</v>
      </c>
      <c r="B193" s="3" t="s">
        <v>1644</v>
      </c>
      <c r="C193" s="3" t="s">
        <v>1280</v>
      </c>
      <c r="D193" s="3" t="s">
        <v>1281</v>
      </c>
      <c r="E193" s="3" t="s">
        <v>272</v>
      </c>
      <c r="F193" s="3" t="s">
        <v>1282</v>
      </c>
      <c r="G193" s="3" t="s">
        <v>321</v>
      </c>
      <c r="H193" s="3" t="s">
        <v>859</v>
      </c>
      <c r="I193" s="3" t="s">
        <v>531</v>
      </c>
    </row>
    <row r="194" customFormat="false" ht="15" hidden="false" customHeight="false" outlineLevel="0" collapsed="false">
      <c r="A194" s="3" t="s">
        <v>1645</v>
      </c>
      <c r="B194" s="3" t="s">
        <v>1646</v>
      </c>
      <c r="C194" s="3" t="s">
        <v>1396</v>
      </c>
      <c r="D194" s="3" t="s">
        <v>1286</v>
      </c>
      <c r="E194" s="3" t="s">
        <v>272</v>
      </c>
      <c r="F194" s="3" t="s">
        <v>1282</v>
      </c>
      <c r="G194" s="3" t="s">
        <v>323</v>
      </c>
      <c r="H194" s="3" t="s">
        <v>862</v>
      </c>
      <c r="I194" s="3" t="s">
        <v>518</v>
      </c>
    </row>
    <row r="195" customFormat="false" ht="15" hidden="false" customHeight="false" outlineLevel="0" collapsed="false">
      <c r="A195" s="3" t="s">
        <v>1647</v>
      </c>
      <c r="B195" s="3" t="s">
        <v>1648</v>
      </c>
      <c r="C195" s="3" t="s">
        <v>1314</v>
      </c>
      <c r="D195" s="3" t="s">
        <v>1286</v>
      </c>
      <c r="E195" s="3" t="s">
        <v>272</v>
      </c>
      <c r="F195" s="3" t="s">
        <v>1282</v>
      </c>
      <c r="G195" s="3" t="s">
        <v>326</v>
      </c>
      <c r="H195" s="3" t="s">
        <v>863</v>
      </c>
      <c r="I195" s="3" t="s">
        <v>543</v>
      </c>
    </row>
    <row r="196" customFormat="false" ht="15" hidden="false" customHeight="false" outlineLevel="0" collapsed="false">
      <c r="A196" s="3" t="s">
        <v>1649</v>
      </c>
      <c r="B196" s="3" t="s">
        <v>1650</v>
      </c>
      <c r="C196" s="3" t="s">
        <v>1280</v>
      </c>
      <c r="D196" s="3" t="s">
        <v>1281</v>
      </c>
      <c r="E196" s="3" t="s">
        <v>272</v>
      </c>
      <c r="F196" s="3" t="s">
        <v>1282</v>
      </c>
      <c r="G196" s="3" t="s">
        <v>327</v>
      </c>
      <c r="H196" s="3" t="s">
        <v>866</v>
      </c>
      <c r="I196" s="3" t="s">
        <v>516</v>
      </c>
    </row>
    <row r="197" customFormat="false" ht="15" hidden="false" customHeight="false" outlineLevel="0" collapsed="false">
      <c r="A197" s="3" t="s">
        <v>1651</v>
      </c>
      <c r="B197" s="3" t="s">
        <v>1652</v>
      </c>
      <c r="C197" s="3" t="s">
        <v>1314</v>
      </c>
      <c r="D197" s="3" t="s">
        <v>1281</v>
      </c>
      <c r="E197" s="3" t="s">
        <v>272</v>
      </c>
      <c r="F197" s="3" t="s">
        <v>1282</v>
      </c>
      <c r="G197" s="3" t="s">
        <v>328</v>
      </c>
      <c r="H197" s="3" t="s">
        <v>868</v>
      </c>
      <c r="I197" s="3" t="s">
        <v>538</v>
      </c>
    </row>
    <row r="198" customFormat="false" ht="15" hidden="false" customHeight="false" outlineLevel="0" collapsed="false">
      <c r="A198" s="3" t="s">
        <v>1653</v>
      </c>
      <c r="B198" s="3" t="s">
        <v>1654</v>
      </c>
      <c r="C198" s="3" t="s">
        <v>1327</v>
      </c>
      <c r="D198" s="3" t="s">
        <v>1286</v>
      </c>
      <c r="E198" s="3" t="s">
        <v>272</v>
      </c>
      <c r="F198" s="3" t="s">
        <v>1287</v>
      </c>
      <c r="G198" s="3" t="s">
        <v>328</v>
      </c>
      <c r="H198" s="3" t="s">
        <v>868</v>
      </c>
      <c r="I198" s="3" t="s">
        <v>538</v>
      </c>
    </row>
    <row r="199" customFormat="false" ht="15" hidden="false" customHeight="false" outlineLevel="0" collapsed="false">
      <c r="A199" s="3" t="s">
        <v>1655</v>
      </c>
      <c r="B199" s="3" t="s">
        <v>1654</v>
      </c>
      <c r="C199" s="3" t="s">
        <v>1327</v>
      </c>
      <c r="D199" s="3" t="s">
        <v>1286</v>
      </c>
      <c r="E199" s="3" t="s">
        <v>272</v>
      </c>
      <c r="F199" s="3" t="s">
        <v>1287</v>
      </c>
      <c r="G199" s="3" t="s">
        <v>328</v>
      </c>
      <c r="H199" s="3" t="s">
        <v>869</v>
      </c>
      <c r="I199" s="3" t="s">
        <v>522</v>
      </c>
    </row>
    <row r="200" customFormat="false" ht="15" hidden="false" customHeight="false" outlineLevel="0" collapsed="false">
      <c r="A200" s="3" t="s">
        <v>1656</v>
      </c>
      <c r="B200" s="3" t="s">
        <v>1657</v>
      </c>
      <c r="C200" s="3" t="s">
        <v>1334</v>
      </c>
      <c r="D200" s="3" t="s">
        <v>1281</v>
      </c>
      <c r="E200" s="3" t="s">
        <v>272</v>
      </c>
      <c r="F200" s="3" t="s">
        <v>1287</v>
      </c>
      <c r="G200" s="3" t="s">
        <v>328</v>
      </c>
      <c r="H200" s="3" t="s">
        <v>868</v>
      </c>
      <c r="I200" s="3" t="s">
        <v>538</v>
      </c>
    </row>
    <row r="201" customFormat="false" ht="15" hidden="false" customHeight="false" outlineLevel="0" collapsed="false">
      <c r="A201" s="3" t="s">
        <v>1658</v>
      </c>
      <c r="B201" s="3" t="s">
        <v>1659</v>
      </c>
      <c r="C201" s="3" t="s">
        <v>1352</v>
      </c>
      <c r="D201" s="3" t="s">
        <v>1281</v>
      </c>
      <c r="E201" s="3" t="s">
        <v>272</v>
      </c>
      <c r="F201" s="3" t="s">
        <v>1335</v>
      </c>
      <c r="G201" s="3" t="s">
        <v>331</v>
      </c>
      <c r="H201" s="3" t="s">
        <v>872</v>
      </c>
      <c r="I201" s="3" t="s">
        <v>524</v>
      </c>
    </row>
    <row r="202" customFormat="false" ht="15" hidden="false" customHeight="false" outlineLevel="0" collapsed="false">
      <c r="A202" s="3" t="s">
        <v>1660</v>
      </c>
      <c r="B202" s="3" t="s">
        <v>1661</v>
      </c>
      <c r="C202" s="3" t="s">
        <v>1290</v>
      </c>
      <c r="D202" s="3" t="s">
        <v>1281</v>
      </c>
      <c r="E202" s="3" t="s">
        <v>272</v>
      </c>
      <c r="F202" s="3" t="s">
        <v>1282</v>
      </c>
      <c r="G202" s="3" t="s">
        <v>332</v>
      </c>
      <c r="H202" s="3" t="s">
        <v>874</v>
      </c>
      <c r="I202" s="3" t="s">
        <v>540</v>
      </c>
    </row>
    <row r="203" customFormat="false" ht="15" hidden="false" customHeight="false" outlineLevel="0" collapsed="false">
      <c r="A203" s="3" t="s">
        <v>1662</v>
      </c>
      <c r="B203" s="3" t="s">
        <v>1663</v>
      </c>
      <c r="C203" s="3" t="s">
        <v>1474</v>
      </c>
      <c r="D203" s="3" t="s">
        <v>1286</v>
      </c>
      <c r="E203" s="3" t="s">
        <v>272</v>
      </c>
      <c r="F203" s="3" t="s">
        <v>1335</v>
      </c>
      <c r="G203" s="3" t="s">
        <v>334</v>
      </c>
      <c r="H203" s="3" t="s">
        <v>876</v>
      </c>
      <c r="I203" s="3" t="s">
        <v>575</v>
      </c>
    </row>
    <row r="204" customFormat="false" ht="15" hidden="false" customHeight="false" outlineLevel="0" collapsed="false">
      <c r="A204" s="3" t="s">
        <v>1664</v>
      </c>
      <c r="B204" s="3" t="s">
        <v>1665</v>
      </c>
      <c r="C204" s="3" t="s">
        <v>1386</v>
      </c>
      <c r="D204" s="3" t="s">
        <v>1286</v>
      </c>
      <c r="E204" s="3" t="s">
        <v>272</v>
      </c>
      <c r="F204" s="3" t="s">
        <v>1306</v>
      </c>
      <c r="G204" s="3" t="s">
        <v>335</v>
      </c>
      <c r="H204" s="3" t="s">
        <v>880</v>
      </c>
      <c r="I204" s="3" t="s">
        <v>552</v>
      </c>
    </row>
    <row r="205" customFormat="false" ht="15" hidden="false" customHeight="false" outlineLevel="0" collapsed="false">
      <c r="A205" s="3" t="s">
        <v>1666</v>
      </c>
      <c r="B205" s="3" t="s">
        <v>1667</v>
      </c>
      <c r="C205" s="3" t="s">
        <v>1386</v>
      </c>
      <c r="D205" s="3" t="s">
        <v>1286</v>
      </c>
      <c r="E205" s="3" t="s">
        <v>272</v>
      </c>
      <c r="F205" s="3" t="s">
        <v>1306</v>
      </c>
      <c r="G205" s="3" t="s">
        <v>335</v>
      </c>
      <c r="H205" s="3" t="s">
        <v>880</v>
      </c>
      <c r="I205" s="3" t="s">
        <v>552</v>
      </c>
    </row>
    <row r="206" customFormat="false" ht="15" hidden="false" customHeight="false" outlineLevel="0" collapsed="false">
      <c r="A206" s="3" t="s">
        <v>1668</v>
      </c>
      <c r="B206" s="3" t="s">
        <v>1669</v>
      </c>
      <c r="C206" s="3" t="s">
        <v>1334</v>
      </c>
      <c r="D206" s="3" t="s">
        <v>1286</v>
      </c>
      <c r="E206" s="3" t="s">
        <v>272</v>
      </c>
      <c r="F206" s="3" t="s">
        <v>1282</v>
      </c>
      <c r="G206" s="3" t="s">
        <v>337</v>
      </c>
      <c r="H206" s="3" t="s">
        <v>881</v>
      </c>
      <c r="I206" s="3" t="s">
        <v>518</v>
      </c>
    </row>
    <row r="207" customFormat="false" ht="15" hidden="false" customHeight="false" outlineLevel="0" collapsed="false">
      <c r="A207" s="3" t="s">
        <v>1670</v>
      </c>
      <c r="B207" s="3" t="s">
        <v>1671</v>
      </c>
      <c r="C207" s="3" t="s">
        <v>1435</v>
      </c>
      <c r="D207" s="3" t="s">
        <v>1286</v>
      </c>
      <c r="E207" s="3" t="s">
        <v>272</v>
      </c>
      <c r="F207" s="3" t="s">
        <v>1282</v>
      </c>
      <c r="G207" s="3" t="s">
        <v>338</v>
      </c>
      <c r="H207" s="3" t="s">
        <v>885</v>
      </c>
      <c r="I207" s="3" t="s">
        <v>516</v>
      </c>
    </row>
    <row r="208" customFormat="false" ht="15" hidden="false" customHeight="false" outlineLevel="0" collapsed="false">
      <c r="A208" s="3" t="s">
        <v>1672</v>
      </c>
      <c r="B208" s="3" t="s">
        <v>1673</v>
      </c>
      <c r="C208" s="3" t="s">
        <v>1455</v>
      </c>
      <c r="D208" s="3" t="s">
        <v>1286</v>
      </c>
      <c r="E208" s="3" t="s">
        <v>272</v>
      </c>
      <c r="F208" s="3" t="s">
        <v>1282</v>
      </c>
      <c r="G208" s="3" t="s">
        <v>339</v>
      </c>
      <c r="H208" s="3" t="s">
        <v>886</v>
      </c>
      <c r="I208" s="3" t="s">
        <v>564</v>
      </c>
    </row>
    <row r="209" customFormat="false" ht="15" hidden="false" customHeight="false" outlineLevel="0" collapsed="false">
      <c r="A209" s="3" t="s">
        <v>1674</v>
      </c>
      <c r="B209" s="3" t="s">
        <v>1675</v>
      </c>
      <c r="C209" s="3" t="s">
        <v>1405</v>
      </c>
      <c r="D209" s="3" t="s">
        <v>1281</v>
      </c>
      <c r="E209" s="3" t="s">
        <v>272</v>
      </c>
      <c r="F209" s="3" t="s">
        <v>1330</v>
      </c>
      <c r="G209" s="3" t="s">
        <v>341</v>
      </c>
      <c r="H209" s="3" t="s">
        <v>887</v>
      </c>
      <c r="I209" s="3" t="s">
        <v>516</v>
      </c>
    </row>
    <row r="210" customFormat="false" ht="15" hidden="false" customHeight="false" outlineLevel="0" collapsed="false">
      <c r="A210" s="3" t="s">
        <v>1676</v>
      </c>
      <c r="B210" s="3" t="s">
        <v>1675</v>
      </c>
      <c r="C210" s="3" t="s">
        <v>1405</v>
      </c>
      <c r="D210" s="3" t="s">
        <v>1281</v>
      </c>
      <c r="E210" s="3" t="s">
        <v>272</v>
      </c>
      <c r="F210" s="3" t="s">
        <v>1330</v>
      </c>
      <c r="G210" s="3" t="s">
        <v>341</v>
      </c>
      <c r="H210" s="3" t="s">
        <v>888</v>
      </c>
      <c r="I210" s="3" t="s">
        <v>540</v>
      </c>
    </row>
    <row r="211" customFormat="false" ht="15" hidden="false" customHeight="false" outlineLevel="0" collapsed="false">
      <c r="A211" s="3" t="s">
        <v>1677</v>
      </c>
      <c r="B211" s="3" t="s">
        <v>1678</v>
      </c>
      <c r="C211" s="3" t="s">
        <v>1474</v>
      </c>
      <c r="D211" s="3" t="s">
        <v>1286</v>
      </c>
      <c r="E211" s="3" t="s">
        <v>272</v>
      </c>
      <c r="F211" s="3" t="s">
        <v>1306</v>
      </c>
      <c r="G211" s="3" t="s">
        <v>342</v>
      </c>
      <c r="H211" s="3" t="s">
        <v>889</v>
      </c>
      <c r="I211" s="3" t="s">
        <v>531</v>
      </c>
    </row>
    <row r="212" customFormat="false" ht="15" hidden="false" customHeight="false" outlineLevel="0" collapsed="false">
      <c r="A212" s="3" t="s">
        <v>1679</v>
      </c>
      <c r="B212" s="3" t="s">
        <v>1680</v>
      </c>
      <c r="C212" s="3" t="s">
        <v>1302</v>
      </c>
      <c r="D212" s="3" t="s">
        <v>1281</v>
      </c>
      <c r="E212" s="3" t="s">
        <v>272</v>
      </c>
      <c r="F212" s="3" t="s">
        <v>1282</v>
      </c>
      <c r="G212" s="3" t="s">
        <v>343</v>
      </c>
      <c r="H212" s="3" t="s">
        <v>893</v>
      </c>
      <c r="I212" s="3" t="s">
        <v>529</v>
      </c>
    </row>
    <row r="213" customFormat="false" ht="15" hidden="false" customHeight="false" outlineLevel="0" collapsed="false">
      <c r="A213" s="3" t="s">
        <v>1681</v>
      </c>
      <c r="B213" s="3" t="s">
        <v>1680</v>
      </c>
      <c r="C213" s="3" t="s">
        <v>1302</v>
      </c>
      <c r="D213" s="3" t="s">
        <v>1281</v>
      </c>
      <c r="E213" s="3" t="s">
        <v>272</v>
      </c>
      <c r="F213" s="3" t="s">
        <v>1282</v>
      </c>
      <c r="G213" s="3" t="s">
        <v>343</v>
      </c>
      <c r="H213" s="3" t="s">
        <v>892</v>
      </c>
      <c r="I213" s="3" t="s">
        <v>531</v>
      </c>
    </row>
    <row r="214" customFormat="false" ht="15" hidden="false" customHeight="false" outlineLevel="0" collapsed="false">
      <c r="A214" s="3" t="s">
        <v>1682</v>
      </c>
      <c r="B214" s="3" t="s">
        <v>1683</v>
      </c>
      <c r="C214" s="3" t="s">
        <v>1302</v>
      </c>
      <c r="D214" s="3" t="s">
        <v>1286</v>
      </c>
      <c r="E214" s="3" t="s">
        <v>272</v>
      </c>
      <c r="F214" s="3" t="s">
        <v>1287</v>
      </c>
      <c r="G214" s="3" t="s">
        <v>343</v>
      </c>
      <c r="H214" s="3" t="s">
        <v>892</v>
      </c>
      <c r="I214" s="3" t="s">
        <v>531</v>
      </c>
    </row>
    <row r="215" customFormat="false" ht="15" hidden="false" customHeight="false" outlineLevel="0" collapsed="false">
      <c r="A215" s="3" t="s">
        <v>1684</v>
      </c>
      <c r="B215" s="3" t="s">
        <v>1683</v>
      </c>
      <c r="C215" s="3" t="s">
        <v>1302</v>
      </c>
      <c r="D215" s="3" t="s">
        <v>1286</v>
      </c>
      <c r="E215" s="3" t="s">
        <v>272</v>
      </c>
      <c r="F215" s="3" t="s">
        <v>1287</v>
      </c>
      <c r="G215" s="3" t="s">
        <v>343</v>
      </c>
      <c r="H215" s="3" t="s">
        <v>893</v>
      </c>
      <c r="I215" s="3" t="s">
        <v>529</v>
      </c>
    </row>
    <row r="216" customFormat="false" ht="15" hidden="false" customHeight="false" outlineLevel="0" collapsed="false">
      <c r="A216" s="3" t="s">
        <v>1685</v>
      </c>
      <c r="B216" s="3" t="s">
        <v>1686</v>
      </c>
      <c r="C216" s="3" t="s">
        <v>1364</v>
      </c>
      <c r="D216" s="3" t="s">
        <v>1286</v>
      </c>
      <c r="E216" s="3" t="s">
        <v>272</v>
      </c>
      <c r="F216" s="3" t="s">
        <v>1335</v>
      </c>
      <c r="G216" s="3" t="s">
        <v>343</v>
      </c>
      <c r="H216" s="3" t="s">
        <v>893</v>
      </c>
      <c r="I216" s="3" t="s">
        <v>529</v>
      </c>
    </row>
    <row r="217" customFormat="false" ht="15" hidden="false" customHeight="false" outlineLevel="0" collapsed="false">
      <c r="A217" s="3" t="s">
        <v>1687</v>
      </c>
      <c r="B217" s="3" t="s">
        <v>1688</v>
      </c>
      <c r="C217" s="3" t="s">
        <v>1302</v>
      </c>
      <c r="D217" s="3" t="s">
        <v>1286</v>
      </c>
      <c r="E217" s="3" t="s">
        <v>272</v>
      </c>
      <c r="F217" s="3" t="s">
        <v>1287</v>
      </c>
      <c r="G217" s="3" t="s">
        <v>345</v>
      </c>
      <c r="H217" s="3" t="s">
        <v>894</v>
      </c>
      <c r="I217" s="3" t="s">
        <v>543</v>
      </c>
    </row>
    <row r="218" customFormat="false" ht="15" hidden="false" customHeight="false" outlineLevel="0" collapsed="false">
      <c r="A218" s="3" t="s">
        <v>1689</v>
      </c>
      <c r="B218" s="3" t="s">
        <v>1690</v>
      </c>
      <c r="C218" s="3" t="s">
        <v>1488</v>
      </c>
      <c r="D218" s="3" t="s">
        <v>1286</v>
      </c>
      <c r="E218" s="3" t="s">
        <v>272</v>
      </c>
      <c r="F218" s="3" t="s">
        <v>1282</v>
      </c>
      <c r="G218" s="3" t="s">
        <v>346</v>
      </c>
      <c r="H218" s="3" t="s">
        <v>896</v>
      </c>
      <c r="I218" s="3" t="s">
        <v>526</v>
      </c>
    </row>
    <row r="219" customFormat="false" ht="15" hidden="false" customHeight="false" outlineLevel="0" collapsed="false">
      <c r="A219" s="3" t="s">
        <v>1691</v>
      </c>
      <c r="B219" s="3" t="s">
        <v>1692</v>
      </c>
      <c r="C219" s="3" t="s">
        <v>1488</v>
      </c>
      <c r="D219" s="3" t="s">
        <v>1286</v>
      </c>
      <c r="E219" s="3" t="s">
        <v>272</v>
      </c>
      <c r="F219" s="3" t="s">
        <v>1282</v>
      </c>
      <c r="G219" s="3" t="s">
        <v>346</v>
      </c>
      <c r="H219" s="3" t="s">
        <v>895</v>
      </c>
      <c r="I219" s="3" t="s">
        <v>518</v>
      </c>
    </row>
    <row r="220" customFormat="false" ht="15" hidden="false" customHeight="false" outlineLevel="0" collapsed="false">
      <c r="A220" s="3" t="s">
        <v>1693</v>
      </c>
      <c r="B220" s="3" t="s">
        <v>1692</v>
      </c>
      <c r="C220" s="3" t="s">
        <v>1488</v>
      </c>
      <c r="D220" s="3" t="s">
        <v>1286</v>
      </c>
      <c r="E220" s="3" t="s">
        <v>272</v>
      </c>
      <c r="F220" s="3" t="s">
        <v>1282</v>
      </c>
      <c r="G220" s="3" t="s">
        <v>346</v>
      </c>
      <c r="H220" s="3" t="s">
        <v>896</v>
      </c>
      <c r="I220" s="3" t="s">
        <v>526</v>
      </c>
    </row>
    <row r="221" customFormat="false" ht="15" hidden="false" customHeight="false" outlineLevel="0" collapsed="false">
      <c r="A221" s="3" t="s">
        <v>1694</v>
      </c>
      <c r="B221" s="3" t="s">
        <v>1695</v>
      </c>
      <c r="C221" s="3" t="s">
        <v>1488</v>
      </c>
      <c r="D221" s="3" t="s">
        <v>1286</v>
      </c>
      <c r="E221" s="3" t="s">
        <v>272</v>
      </c>
      <c r="F221" s="3" t="s">
        <v>1282</v>
      </c>
      <c r="G221" s="3" t="s">
        <v>346</v>
      </c>
      <c r="H221" s="3" t="s">
        <v>896</v>
      </c>
      <c r="I221" s="3" t="s">
        <v>526</v>
      </c>
    </row>
    <row r="222" customFormat="false" ht="15" hidden="false" customHeight="false" outlineLevel="0" collapsed="false">
      <c r="A222" s="3" t="s">
        <v>1696</v>
      </c>
      <c r="B222" s="3" t="s">
        <v>1695</v>
      </c>
      <c r="C222" s="3" t="s">
        <v>1488</v>
      </c>
      <c r="D222" s="3" t="s">
        <v>1286</v>
      </c>
      <c r="E222" s="3" t="s">
        <v>272</v>
      </c>
      <c r="F222" s="3" t="s">
        <v>1282</v>
      </c>
      <c r="G222" s="3" t="s">
        <v>346</v>
      </c>
      <c r="H222" s="3" t="s">
        <v>895</v>
      </c>
      <c r="I222" s="3" t="s">
        <v>518</v>
      </c>
    </row>
    <row r="223" customFormat="false" ht="15" hidden="false" customHeight="false" outlineLevel="0" collapsed="false">
      <c r="A223" s="3" t="s">
        <v>1697</v>
      </c>
      <c r="B223" s="3" t="s">
        <v>1698</v>
      </c>
      <c r="C223" s="3" t="s">
        <v>1314</v>
      </c>
      <c r="D223" s="3" t="s">
        <v>1281</v>
      </c>
      <c r="E223" s="3" t="s">
        <v>272</v>
      </c>
      <c r="F223" s="3" t="s">
        <v>1282</v>
      </c>
      <c r="G223" s="3" t="s">
        <v>348</v>
      </c>
      <c r="H223" s="3" t="s">
        <v>898</v>
      </c>
      <c r="I223" s="3" t="s">
        <v>531</v>
      </c>
    </row>
    <row r="224" customFormat="false" ht="15" hidden="false" customHeight="false" outlineLevel="0" collapsed="false">
      <c r="A224" s="3" t="s">
        <v>1699</v>
      </c>
      <c r="B224" s="3" t="s">
        <v>1700</v>
      </c>
      <c r="C224" s="3" t="s">
        <v>1358</v>
      </c>
      <c r="D224" s="3" t="s">
        <v>1281</v>
      </c>
      <c r="E224" s="3" t="s">
        <v>272</v>
      </c>
      <c r="F224" s="3" t="s">
        <v>1282</v>
      </c>
      <c r="G224" s="3" t="s">
        <v>349</v>
      </c>
      <c r="H224" s="3" t="s">
        <v>901</v>
      </c>
      <c r="I224" s="3" t="s">
        <v>510</v>
      </c>
    </row>
    <row r="225" customFormat="false" ht="15" hidden="false" customHeight="false" outlineLevel="0" collapsed="false">
      <c r="A225" s="3" t="s">
        <v>1701</v>
      </c>
      <c r="B225" s="3" t="s">
        <v>1700</v>
      </c>
      <c r="C225" s="3" t="s">
        <v>1358</v>
      </c>
      <c r="D225" s="3" t="s">
        <v>1281</v>
      </c>
      <c r="E225" s="3" t="s">
        <v>272</v>
      </c>
      <c r="F225" s="3" t="s">
        <v>1282</v>
      </c>
      <c r="G225" s="3" t="s">
        <v>349</v>
      </c>
      <c r="H225" s="3" t="s">
        <v>899</v>
      </c>
      <c r="I225" s="3" t="s">
        <v>575</v>
      </c>
    </row>
    <row r="226" customFormat="false" ht="15" hidden="false" customHeight="false" outlineLevel="0" collapsed="false">
      <c r="A226" s="3" t="s">
        <v>1702</v>
      </c>
      <c r="B226" s="3" t="s">
        <v>1703</v>
      </c>
      <c r="C226" s="3" t="s">
        <v>1355</v>
      </c>
      <c r="D226" s="3" t="s">
        <v>1281</v>
      </c>
      <c r="E226" s="3" t="s">
        <v>272</v>
      </c>
      <c r="F226" s="3" t="s">
        <v>1306</v>
      </c>
      <c r="G226" s="3" t="s">
        <v>349</v>
      </c>
      <c r="H226" s="3" t="s">
        <v>901</v>
      </c>
      <c r="I226" s="3" t="s">
        <v>510</v>
      </c>
    </row>
    <row r="227" customFormat="false" ht="15" hidden="false" customHeight="false" outlineLevel="0" collapsed="false">
      <c r="A227" s="3" t="s">
        <v>1704</v>
      </c>
      <c r="B227" s="3" t="s">
        <v>1705</v>
      </c>
      <c r="C227" s="3" t="s">
        <v>1587</v>
      </c>
      <c r="D227" s="3" t="s">
        <v>1281</v>
      </c>
      <c r="E227" s="3" t="s">
        <v>272</v>
      </c>
      <c r="F227" s="3" t="s">
        <v>1330</v>
      </c>
      <c r="G227" s="3" t="s">
        <v>351</v>
      </c>
      <c r="H227" s="3" t="s">
        <v>906</v>
      </c>
      <c r="I227" s="3" t="s">
        <v>526</v>
      </c>
    </row>
    <row r="228" customFormat="false" ht="15" hidden="false" customHeight="false" outlineLevel="0" collapsed="false">
      <c r="A228" s="3" t="s">
        <v>1706</v>
      </c>
      <c r="B228" s="3" t="s">
        <v>1705</v>
      </c>
      <c r="C228" s="3" t="s">
        <v>1587</v>
      </c>
      <c r="D228" s="3" t="s">
        <v>1281</v>
      </c>
      <c r="E228" s="3" t="s">
        <v>272</v>
      </c>
      <c r="F228" s="3" t="s">
        <v>1330</v>
      </c>
      <c r="G228" s="3" t="s">
        <v>351</v>
      </c>
      <c r="H228" s="3" t="s">
        <v>905</v>
      </c>
      <c r="I228" s="3" t="s">
        <v>564</v>
      </c>
    </row>
    <row r="229" customFormat="false" ht="15" hidden="false" customHeight="false" outlineLevel="0" collapsed="false">
      <c r="A229" s="3" t="s">
        <v>1707</v>
      </c>
      <c r="B229" s="3" t="s">
        <v>1705</v>
      </c>
      <c r="C229" s="3" t="s">
        <v>1587</v>
      </c>
      <c r="D229" s="3" t="s">
        <v>1281</v>
      </c>
      <c r="E229" s="3" t="s">
        <v>272</v>
      </c>
      <c r="F229" s="3" t="s">
        <v>1330</v>
      </c>
      <c r="G229" s="3" t="s">
        <v>351</v>
      </c>
      <c r="H229" s="3" t="s">
        <v>908</v>
      </c>
      <c r="I229" s="3" t="s">
        <v>535</v>
      </c>
    </row>
    <row r="230" customFormat="false" ht="15" hidden="false" customHeight="false" outlineLevel="0" collapsed="false">
      <c r="A230" s="3" t="s">
        <v>1708</v>
      </c>
      <c r="B230" s="3" t="s">
        <v>1709</v>
      </c>
      <c r="C230" s="3" t="s">
        <v>1587</v>
      </c>
      <c r="D230" s="3" t="s">
        <v>1286</v>
      </c>
      <c r="E230" s="3" t="s">
        <v>272</v>
      </c>
      <c r="F230" s="3" t="s">
        <v>1287</v>
      </c>
      <c r="G230" s="3" t="s">
        <v>351</v>
      </c>
      <c r="H230" s="3" t="s">
        <v>908</v>
      </c>
      <c r="I230" s="3" t="s">
        <v>535</v>
      </c>
    </row>
    <row r="231" customFormat="false" ht="15" hidden="false" customHeight="false" outlineLevel="0" collapsed="false">
      <c r="A231" s="3" t="s">
        <v>1710</v>
      </c>
      <c r="B231" s="3" t="s">
        <v>1709</v>
      </c>
      <c r="C231" s="3" t="s">
        <v>1587</v>
      </c>
      <c r="D231" s="3" t="s">
        <v>1286</v>
      </c>
      <c r="E231" s="3" t="s">
        <v>272</v>
      </c>
      <c r="F231" s="3" t="s">
        <v>1287</v>
      </c>
      <c r="G231" s="3" t="s">
        <v>351</v>
      </c>
      <c r="H231" s="3" t="s">
        <v>905</v>
      </c>
      <c r="I231" s="3" t="s">
        <v>564</v>
      </c>
    </row>
    <row r="232" customFormat="false" ht="15" hidden="false" customHeight="false" outlineLevel="0" collapsed="false">
      <c r="A232" s="3" t="s">
        <v>1711</v>
      </c>
      <c r="B232" s="3" t="s">
        <v>1709</v>
      </c>
      <c r="C232" s="3" t="s">
        <v>1587</v>
      </c>
      <c r="D232" s="3" t="s">
        <v>1286</v>
      </c>
      <c r="E232" s="3" t="s">
        <v>272</v>
      </c>
      <c r="F232" s="3" t="s">
        <v>1287</v>
      </c>
      <c r="G232" s="3" t="s">
        <v>351</v>
      </c>
      <c r="H232" s="3" t="s">
        <v>907</v>
      </c>
      <c r="I232" s="3" t="s">
        <v>548</v>
      </c>
    </row>
    <row r="233" customFormat="false" ht="15" hidden="false" customHeight="false" outlineLevel="0" collapsed="false">
      <c r="A233" s="3" t="s">
        <v>1712</v>
      </c>
      <c r="B233" s="3" t="s">
        <v>1713</v>
      </c>
      <c r="C233" s="3" t="s">
        <v>1587</v>
      </c>
      <c r="D233" s="3" t="s">
        <v>1286</v>
      </c>
      <c r="E233" s="3" t="s">
        <v>272</v>
      </c>
      <c r="F233" s="3" t="s">
        <v>1282</v>
      </c>
      <c r="G233" s="3" t="s">
        <v>351</v>
      </c>
      <c r="H233" s="3" t="s">
        <v>905</v>
      </c>
      <c r="I233" s="3" t="s">
        <v>564</v>
      </c>
    </row>
    <row r="234" customFormat="false" ht="15" hidden="false" customHeight="false" outlineLevel="0" collapsed="false">
      <c r="A234" s="3" t="s">
        <v>1714</v>
      </c>
      <c r="B234" s="3" t="s">
        <v>1713</v>
      </c>
      <c r="C234" s="3" t="s">
        <v>1587</v>
      </c>
      <c r="D234" s="3" t="s">
        <v>1286</v>
      </c>
      <c r="E234" s="3" t="s">
        <v>272</v>
      </c>
      <c r="F234" s="3" t="s">
        <v>1282</v>
      </c>
      <c r="G234" s="3" t="s">
        <v>351</v>
      </c>
      <c r="H234" s="3" t="s">
        <v>907</v>
      </c>
      <c r="I234" s="3" t="s">
        <v>548</v>
      </c>
    </row>
    <row r="235" customFormat="false" ht="15" hidden="false" customHeight="false" outlineLevel="0" collapsed="false">
      <c r="A235" s="3" t="s">
        <v>1715</v>
      </c>
      <c r="B235" s="3" t="s">
        <v>1713</v>
      </c>
      <c r="C235" s="3" t="s">
        <v>1587</v>
      </c>
      <c r="D235" s="3" t="s">
        <v>1286</v>
      </c>
      <c r="E235" s="3" t="s">
        <v>272</v>
      </c>
      <c r="F235" s="3" t="s">
        <v>1282</v>
      </c>
      <c r="G235" s="3" t="s">
        <v>351</v>
      </c>
      <c r="H235" s="3" t="s">
        <v>906</v>
      </c>
      <c r="I235" s="3" t="s">
        <v>526</v>
      </c>
    </row>
    <row r="236" customFormat="false" ht="15" hidden="false" customHeight="false" outlineLevel="0" collapsed="false">
      <c r="A236" s="3" t="s">
        <v>1716</v>
      </c>
      <c r="B236" s="3" t="s">
        <v>1717</v>
      </c>
      <c r="C236" s="3" t="s">
        <v>1327</v>
      </c>
      <c r="D236" s="3" t="s">
        <v>1281</v>
      </c>
      <c r="E236" s="3" t="s">
        <v>272</v>
      </c>
      <c r="F236" s="3" t="s">
        <v>1282</v>
      </c>
      <c r="G236" s="3" t="s">
        <v>352</v>
      </c>
      <c r="H236" s="3" t="s">
        <v>913</v>
      </c>
      <c r="I236" s="3" t="s">
        <v>518</v>
      </c>
    </row>
    <row r="237" customFormat="false" ht="15" hidden="false" customHeight="false" outlineLevel="0" collapsed="false">
      <c r="A237" s="3" t="s">
        <v>1718</v>
      </c>
      <c r="B237" s="3" t="s">
        <v>1719</v>
      </c>
      <c r="C237" s="3" t="s">
        <v>1474</v>
      </c>
      <c r="D237" s="3" t="s">
        <v>1286</v>
      </c>
      <c r="E237" s="3" t="s">
        <v>272</v>
      </c>
      <c r="F237" s="3" t="s">
        <v>1306</v>
      </c>
      <c r="G237" s="3" t="s">
        <v>352</v>
      </c>
      <c r="H237" s="3" t="s">
        <v>911</v>
      </c>
      <c r="I237" s="3" t="s">
        <v>510</v>
      </c>
    </row>
    <row r="238" customFormat="false" ht="15" hidden="false" customHeight="false" outlineLevel="0" collapsed="false">
      <c r="A238" s="3" t="s">
        <v>1720</v>
      </c>
      <c r="B238" s="3" t="s">
        <v>1721</v>
      </c>
      <c r="C238" s="3" t="s">
        <v>1327</v>
      </c>
      <c r="D238" s="3" t="s">
        <v>1286</v>
      </c>
      <c r="E238" s="3" t="s">
        <v>272</v>
      </c>
      <c r="F238" s="3" t="s">
        <v>1282</v>
      </c>
      <c r="G238" s="3" t="s">
        <v>352</v>
      </c>
      <c r="H238" s="3" t="s">
        <v>911</v>
      </c>
      <c r="I238" s="3" t="s">
        <v>510</v>
      </c>
    </row>
    <row r="239" customFormat="false" ht="15" hidden="false" customHeight="false" outlineLevel="0" collapsed="false">
      <c r="A239" s="3" t="s">
        <v>1722</v>
      </c>
      <c r="B239" s="3" t="s">
        <v>1721</v>
      </c>
      <c r="C239" s="3" t="s">
        <v>1327</v>
      </c>
      <c r="D239" s="3" t="s">
        <v>1286</v>
      </c>
      <c r="E239" s="3" t="s">
        <v>272</v>
      </c>
      <c r="F239" s="3" t="s">
        <v>1282</v>
      </c>
      <c r="G239" s="3" t="s">
        <v>352</v>
      </c>
      <c r="H239" s="3" t="s">
        <v>912</v>
      </c>
      <c r="I239" s="3" t="s">
        <v>575</v>
      </c>
    </row>
    <row r="240" customFormat="false" ht="15" hidden="false" customHeight="false" outlineLevel="0" collapsed="false">
      <c r="A240" s="3" t="s">
        <v>1723</v>
      </c>
      <c r="B240" s="3" t="s">
        <v>1721</v>
      </c>
      <c r="C240" s="3" t="s">
        <v>1327</v>
      </c>
      <c r="D240" s="3" t="s">
        <v>1286</v>
      </c>
      <c r="E240" s="3" t="s">
        <v>272</v>
      </c>
      <c r="F240" s="3" t="s">
        <v>1282</v>
      </c>
      <c r="G240" s="3" t="s">
        <v>352</v>
      </c>
      <c r="H240" s="3" t="s">
        <v>910</v>
      </c>
      <c r="I240" s="3" t="s">
        <v>524</v>
      </c>
    </row>
    <row r="241" customFormat="false" ht="15" hidden="false" customHeight="false" outlineLevel="0" collapsed="false">
      <c r="A241" s="3" t="s">
        <v>1724</v>
      </c>
      <c r="B241" s="3" t="s">
        <v>1725</v>
      </c>
      <c r="C241" s="3" t="s">
        <v>1290</v>
      </c>
      <c r="D241" s="3" t="s">
        <v>1286</v>
      </c>
      <c r="E241" s="3" t="s">
        <v>272</v>
      </c>
      <c r="F241" s="3" t="s">
        <v>1282</v>
      </c>
      <c r="G241" s="3" t="s">
        <v>353</v>
      </c>
      <c r="H241" s="3" t="s">
        <v>917</v>
      </c>
      <c r="I241" s="3" t="s">
        <v>524</v>
      </c>
    </row>
    <row r="242" customFormat="false" ht="15" hidden="false" customHeight="false" outlineLevel="0" collapsed="false">
      <c r="A242" s="3" t="s">
        <v>1726</v>
      </c>
      <c r="B242" s="3" t="s">
        <v>1725</v>
      </c>
      <c r="C242" s="3" t="s">
        <v>1290</v>
      </c>
      <c r="D242" s="3" t="s">
        <v>1286</v>
      </c>
      <c r="E242" s="3" t="s">
        <v>272</v>
      </c>
      <c r="F242" s="3" t="s">
        <v>1282</v>
      </c>
      <c r="G242" s="3" t="s">
        <v>353</v>
      </c>
      <c r="H242" s="3" t="s">
        <v>916</v>
      </c>
      <c r="I242" s="3" t="s">
        <v>518</v>
      </c>
    </row>
    <row r="243" customFormat="false" ht="15" hidden="false" customHeight="false" outlineLevel="0" collapsed="false">
      <c r="A243" s="3" t="s">
        <v>1727</v>
      </c>
      <c r="B243" s="3" t="s">
        <v>1725</v>
      </c>
      <c r="C243" s="3" t="s">
        <v>1290</v>
      </c>
      <c r="D243" s="3" t="s">
        <v>1286</v>
      </c>
      <c r="E243" s="3" t="s">
        <v>272</v>
      </c>
      <c r="F243" s="3" t="s">
        <v>1282</v>
      </c>
      <c r="G243" s="3" t="s">
        <v>353</v>
      </c>
      <c r="H243" s="3" t="s">
        <v>918</v>
      </c>
      <c r="I243" s="3" t="s">
        <v>543</v>
      </c>
    </row>
    <row r="244" customFormat="false" ht="15" hidden="false" customHeight="false" outlineLevel="0" collapsed="false">
      <c r="A244" s="3" t="s">
        <v>1728</v>
      </c>
      <c r="B244" s="3" t="s">
        <v>1729</v>
      </c>
      <c r="C244" s="3" t="s">
        <v>1327</v>
      </c>
      <c r="D244" s="3" t="s">
        <v>1281</v>
      </c>
      <c r="E244" s="3" t="s">
        <v>272</v>
      </c>
      <c r="F244" s="3" t="s">
        <v>1306</v>
      </c>
      <c r="G244" s="3" t="s">
        <v>354</v>
      </c>
      <c r="H244" s="3" t="s">
        <v>922</v>
      </c>
      <c r="I244" s="3" t="s">
        <v>575</v>
      </c>
    </row>
    <row r="245" customFormat="false" ht="15" hidden="false" customHeight="false" outlineLevel="0" collapsed="false">
      <c r="A245" s="3" t="s">
        <v>1730</v>
      </c>
      <c r="B245" s="3" t="s">
        <v>1731</v>
      </c>
      <c r="C245" s="3" t="s">
        <v>1327</v>
      </c>
      <c r="D245" s="3" t="s">
        <v>1281</v>
      </c>
      <c r="E245" s="3" t="s">
        <v>272</v>
      </c>
      <c r="F245" s="3" t="s">
        <v>1306</v>
      </c>
      <c r="G245" s="3" t="s">
        <v>354</v>
      </c>
      <c r="H245" s="3" t="s">
        <v>921</v>
      </c>
      <c r="I245" s="3" t="s">
        <v>535</v>
      </c>
    </row>
    <row r="246" customFormat="false" ht="15" hidden="false" customHeight="false" outlineLevel="0" collapsed="false">
      <c r="A246" s="3" t="s">
        <v>1732</v>
      </c>
      <c r="B246" s="3" t="s">
        <v>1733</v>
      </c>
      <c r="C246" s="3" t="s">
        <v>1352</v>
      </c>
      <c r="D246" s="3" t="s">
        <v>1286</v>
      </c>
      <c r="E246" s="3" t="s">
        <v>272</v>
      </c>
      <c r="F246" s="3" t="s">
        <v>1306</v>
      </c>
      <c r="G246" s="3" t="s">
        <v>354</v>
      </c>
      <c r="H246" s="3" t="s">
        <v>921</v>
      </c>
      <c r="I246" s="3" t="s">
        <v>535</v>
      </c>
    </row>
    <row r="247" customFormat="false" ht="15" hidden="false" customHeight="false" outlineLevel="0" collapsed="false">
      <c r="A247" s="3" t="s">
        <v>1734</v>
      </c>
      <c r="B247" s="3" t="s">
        <v>1733</v>
      </c>
      <c r="C247" s="3" t="s">
        <v>1352</v>
      </c>
      <c r="D247" s="3" t="s">
        <v>1286</v>
      </c>
      <c r="E247" s="3" t="s">
        <v>272</v>
      </c>
      <c r="F247" s="3" t="s">
        <v>1306</v>
      </c>
      <c r="G247" s="3" t="s">
        <v>354</v>
      </c>
      <c r="H247" s="3" t="s">
        <v>919</v>
      </c>
      <c r="I247" s="3" t="s">
        <v>552</v>
      </c>
    </row>
    <row r="248" customFormat="false" ht="15" hidden="false" customHeight="false" outlineLevel="0" collapsed="false">
      <c r="A248" s="3" t="s">
        <v>1735</v>
      </c>
      <c r="B248" s="3" t="s">
        <v>1733</v>
      </c>
      <c r="C248" s="3" t="s">
        <v>1352</v>
      </c>
      <c r="D248" s="3" t="s">
        <v>1286</v>
      </c>
      <c r="E248" s="3" t="s">
        <v>272</v>
      </c>
      <c r="F248" s="3" t="s">
        <v>1306</v>
      </c>
      <c r="G248" s="3" t="s">
        <v>354</v>
      </c>
      <c r="H248" s="3" t="s">
        <v>922</v>
      </c>
      <c r="I248" s="3" t="s">
        <v>575</v>
      </c>
    </row>
    <row r="249" customFormat="false" ht="15" hidden="false" customHeight="false" outlineLevel="0" collapsed="false">
      <c r="A249" s="3" t="s">
        <v>1736</v>
      </c>
      <c r="B249" s="3" t="s">
        <v>1737</v>
      </c>
      <c r="C249" s="3" t="s">
        <v>1310</v>
      </c>
      <c r="D249" s="3" t="s">
        <v>1286</v>
      </c>
      <c r="E249" s="3" t="s">
        <v>272</v>
      </c>
      <c r="F249" s="3" t="s">
        <v>1306</v>
      </c>
      <c r="G249" s="3" t="s">
        <v>355</v>
      </c>
      <c r="H249" s="3" t="s">
        <v>925</v>
      </c>
      <c r="I249" s="3" t="s">
        <v>518</v>
      </c>
    </row>
    <row r="250" customFormat="false" ht="15" hidden="false" customHeight="false" outlineLevel="0" collapsed="false">
      <c r="A250" s="3" t="s">
        <v>1738</v>
      </c>
      <c r="B250" s="3" t="s">
        <v>1739</v>
      </c>
      <c r="C250" s="3" t="s">
        <v>1474</v>
      </c>
      <c r="D250" s="3" t="s">
        <v>1286</v>
      </c>
      <c r="E250" s="3" t="s">
        <v>360</v>
      </c>
      <c r="F250" s="3" t="s">
        <v>1335</v>
      </c>
      <c r="G250" s="3" t="s">
        <v>359</v>
      </c>
      <c r="H250" s="3" t="s">
        <v>930</v>
      </c>
      <c r="I250" s="3" t="s">
        <v>518</v>
      </c>
    </row>
    <row r="251" customFormat="false" ht="15" hidden="false" customHeight="false" outlineLevel="0" collapsed="false">
      <c r="A251" s="3" t="s">
        <v>1740</v>
      </c>
      <c r="B251" s="3" t="s">
        <v>1741</v>
      </c>
      <c r="C251" s="3" t="s">
        <v>1314</v>
      </c>
      <c r="D251" s="3" t="s">
        <v>1286</v>
      </c>
      <c r="E251" s="3" t="s">
        <v>360</v>
      </c>
      <c r="F251" s="3" t="s">
        <v>1282</v>
      </c>
      <c r="G251" s="3" t="s">
        <v>359</v>
      </c>
      <c r="H251" s="3" t="s">
        <v>932</v>
      </c>
      <c r="I251" s="3" t="s">
        <v>538</v>
      </c>
    </row>
    <row r="252" customFormat="false" ht="15" hidden="false" customHeight="false" outlineLevel="0" collapsed="false">
      <c r="A252" s="3" t="s">
        <v>1742</v>
      </c>
      <c r="B252" s="3" t="s">
        <v>1743</v>
      </c>
      <c r="C252" s="3" t="s">
        <v>1474</v>
      </c>
      <c r="D252" s="3" t="s">
        <v>1286</v>
      </c>
      <c r="E252" s="3" t="s">
        <v>360</v>
      </c>
      <c r="F252" s="3" t="s">
        <v>1330</v>
      </c>
      <c r="G252" s="3" t="s">
        <v>364</v>
      </c>
      <c r="H252" s="3" t="s">
        <v>940</v>
      </c>
      <c r="I252" s="3" t="s">
        <v>552</v>
      </c>
    </row>
    <row r="253" customFormat="false" ht="15" hidden="false" customHeight="false" outlineLevel="0" collapsed="false">
      <c r="A253" s="3" t="s">
        <v>1744</v>
      </c>
      <c r="B253" s="3" t="s">
        <v>1745</v>
      </c>
      <c r="C253" s="3" t="s">
        <v>1474</v>
      </c>
      <c r="D253" s="3" t="s">
        <v>1281</v>
      </c>
      <c r="E253" s="3" t="s">
        <v>360</v>
      </c>
      <c r="F253" s="3" t="s">
        <v>1330</v>
      </c>
      <c r="G253" s="3" t="s">
        <v>364</v>
      </c>
      <c r="H253" s="3" t="s">
        <v>938</v>
      </c>
      <c r="I253" s="3" t="s">
        <v>564</v>
      </c>
    </row>
    <row r="254" customFormat="false" ht="15" hidden="false" customHeight="false" outlineLevel="0" collapsed="false">
      <c r="A254" s="3" t="s">
        <v>1746</v>
      </c>
      <c r="B254" s="3" t="s">
        <v>1745</v>
      </c>
      <c r="C254" s="3" t="s">
        <v>1474</v>
      </c>
      <c r="D254" s="3" t="s">
        <v>1281</v>
      </c>
      <c r="E254" s="3" t="s">
        <v>360</v>
      </c>
      <c r="F254" s="3" t="s">
        <v>1330</v>
      </c>
      <c r="G254" s="3" t="s">
        <v>364</v>
      </c>
      <c r="H254" s="3" t="s">
        <v>940</v>
      </c>
      <c r="I254" s="3" t="s">
        <v>552</v>
      </c>
    </row>
    <row r="255" customFormat="false" ht="15" hidden="false" customHeight="false" outlineLevel="0" collapsed="false">
      <c r="A255" s="3" t="s">
        <v>1747</v>
      </c>
      <c r="B255" s="3" t="s">
        <v>1748</v>
      </c>
      <c r="C255" s="3" t="s">
        <v>1352</v>
      </c>
      <c r="D255" s="3" t="s">
        <v>1286</v>
      </c>
      <c r="E255" s="3" t="s">
        <v>360</v>
      </c>
      <c r="F255" s="3" t="s">
        <v>1282</v>
      </c>
      <c r="G255" s="3" t="s">
        <v>364</v>
      </c>
      <c r="H255" s="3" t="s">
        <v>940</v>
      </c>
      <c r="I255" s="3" t="s">
        <v>552</v>
      </c>
    </row>
    <row r="256" customFormat="false" ht="15" hidden="false" customHeight="false" outlineLevel="0" collapsed="false">
      <c r="A256" s="3" t="s">
        <v>1749</v>
      </c>
      <c r="B256" s="3" t="s">
        <v>1750</v>
      </c>
      <c r="C256" s="3" t="s">
        <v>1402</v>
      </c>
      <c r="D256" s="3" t="s">
        <v>1281</v>
      </c>
      <c r="E256" s="3" t="s">
        <v>360</v>
      </c>
      <c r="F256" s="3" t="s">
        <v>1330</v>
      </c>
      <c r="G256" s="3" t="s">
        <v>365</v>
      </c>
      <c r="H256" s="3" t="s">
        <v>948</v>
      </c>
      <c r="I256" s="3" t="s">
        <v>531</v>
      </c>
    </row>
    <row r="257" customFormat="false" ht="15" hidden="false" customHeight="false" outlineLevel="0" collapsed="false">
      <c r="A257" s="3" t="s">
        <v>1751</v>
      </c>
      <c r="B257" s="3" t="s">
        <v>1750</v>
      </c>
      <c r="C257" s="3" t="s">
        <v>1402</v>
      </c>
      <c r="D257" s="3" t="s">
        <v>1281</v>
      </c>
      <c r="E257" s="3" t="s">
        <v>360</v>
      </c>
      <c r="F257" s="3" t="s">
        <v>1330</v>
      </c>
      <c r="G257" s="3" t="s">
        <v>365</v>
      </c>
      <c r="H257" s="3" t="s">
        <v>942</v>
      </c>
      <c r="I257" s="3" t="s">
        <v>516</v>
      </c>
    </row>
    <row r="258" customFormat="false" ht="15" hidden="false" customHeight="false" outlineLevel="0" collapsed="false">
      <c r="A258" s="3" t="s">
        <v>1752</v>
      </c>
      <c r="B258" s="3" t="s">
        <v>1750</v>
      </c>
      <c r="C258" s="3" t="s">
        <v>1402</v>
      </c>
      <c r="D258" s="3" t="s">
        <v>1281</v>
      </c>
      <c r="E258" s="3" t="s">
        <v>360</v>
      </c>
      <c r="F258" s="3" t="s">
        <v>1330</v>
      </c>
      <c r="G258" s="3" t="s">
        <v>365</v>
      </c>
      <c r="H258" s="3" t="s">
        <v>941</v>
      </c>
      <c r="I258" s="3" t="s">
        <v>564</v>
      </c>
    </row>
    <row r="259" customFormat="false" ht="15" hidden="false" customHeight="false" outlineLevel="0" collapsed="false">
      <c r="A259" s="3" t="s">
        <v>1753</v>
      </c>
      <c r="B259" s="3" t="s">
        <v>1754</v>
      </c>
      <c r="C259" s="3" t="s">
        <v>1474</v>
      </c>
      <c r="D259" s="3" t="s">
        <v>1286</v>
      </c>
      <c r="E259" s="3" t="s">
        <v>360</v>
      </c>
      <c r="F259" s="3" t="s">
        <v>1306</v>
      </c>
      <c r="G259" s="3" t="s">
        <v>367</v>
      </c>
      <c r="H259" s="3" t="s">
        <v>949</v>
      </c>
      <c r="I259" s="3" t="s">
        <v>516</v>
      </c>
    </row>
    <row r="260" customFormat="false" ht="15" hidden="false" customHeight="false" outlineLevel="0" collapsed="false">
      <c r="A260" s="3" t="s">
        <v>1755</v>
      </c>
      <c r="B260" s="3" t="s">
        <v>1754</v>
      </c>
      <c r="C260" s="3" t="s">
        <v>1474</v>
      </c>
      <c r="D260" s="3" t="s">
        <v>1286</v>
      </c>
      <c r="E260" s="3" t="s">
        <v>360</v>
      </c>
      <c r="F260" s="3" t="s">
        <v>1306</v>
      </c>
      <c r="G260" s="3" t="s">
        <v>367</v>
      </c>
      <c r="H260" s="3" t="s">
        <v>954</v>
      </c>
      <c r="I260" s="3" t="s">
        <v>575</v>
      </c>
    </row>
    <row r="261" customFormat="false" ht="15" hidden="false" customHeight="false" outlineLevel="0" collapsed="false">
      <c r="A261" s="3" t="s">
        <v>1756</v>
      </c>
      <c r="B261" s="3" t="s">
        <v>1754</v>
      </c>
      <c r="C261" s="3" t="s">
        <v>1474</v>
      </c>
      <c r="D261" s="3" t="s">
        <v>1286</v>
      </c>
      <c r="E261" s="3" t="s">
        <v>360</v>
      </c>
      <c r="F261" s="3" t="s">
        <v>1306</v>
      </c>
      <c r="G261" s="3" t="s">
        <v>367</v>
      </c>
      <c r="H261" s="3" t="s">
        <v>952</v>
      </c>
      <c r="I261" s="3" t="s">
        <v>540</v>
      </c>
    </row>
    <row r="262" customFormat="false" ht="15" hidden="false" customHeight="false" outlineLevel="0" collapsed="false">
      <c r="A262" s="3" t="s">
        <v>1757</v>
      </c>
      <c r="B262" s="3" t="s">
        <v>1758</v>
      </c>
      <c r="C262" s="3" t="s">
        <v>1293</v>
      </c>
      <c r="D262" s="3" t="s">
        <v>1281</v>
      </c>
      <c r="E262" s="3" t="s">
        <v>360</v>
      </c>
      <c r="F262" s="3" t="s">
        <v>1306</v>
      </c>
      <c r="G262" s="3" t="s">
        <v>368</v>
      </c>
      <c r="H262" s="3" t="s">
        <v>955</v>
      </c>
      <c r="I262" s="3" t="s">
        <v>543</v>
      </c>
    </row>
    <row r="263" customFormat="false" ht="15" hidden="false" customHeight="false" outlineLevel="0" collapsed="false">
      <c r="A263" s="3" t="s">
        <v>1759</v>
      </c>
      <c r="B263" s="3" t="s">
        <v>1760</v>
      </c>
      <c r="C263" s="3" t="s">
        <v>1310</v>
      </c>
      <c r="D263" s="3" t="s">
        <v>1281</v>
      </c>
      <c r="E263" s="3" t="s">
        <v>360</v>
      </c>
      <c r="F263" s="3" t="s">
        <v>1335</v>
      </c>
      <c r="G263" s="3" t="s">
        <v>368</v>
      </c>
      <c r="H263" s="3" t="s">
        <v>955</v>
      </c>
      <c r="I263" s="3" t="s">
        <v>543</v>
      </c>
    </row>
    <row r="264" customFormat="false" ht="15" hidden="false" customHeight="false" outlineLevel="0" collapsed="false">
      <c r="A264" s="3" t="s">
        <v>1761</v>
      </c>
      <c r="B264" s="3" t="s">
        <v>1762</v>
      </c>
      <c r="C264" s="3" t="s">
        <v>1293</v>
      </c>
      <c r="D264" s="3" t="s">
        <v>1286</v>
      </c>
      <c r="E264" s="3" t="s">
        <v>360</v>
      </c>
      <c r="F264" s="3" t="s">
        <v>1282</v>
      </c>
      <c r="G264" s="3" t="s">
        <v>368</v>
      </c>
      <c r="H264" s="3" t="s">
        <v>955</v>
      </c>
      <c r="I264" s="3" t="s">
        <v>543</v>
      </c>
    </row>
    <row r="265" customFormat="false" ht="15" hidden="false" customHeight="false" outlineLevel="0" collapsed="false">
      <c r="A265" s="3" t="s">
        <v>1763</v>
      </c>
      <c r="B265" s="3" t="s">
        <v>1764</v>
      </c>
      <c r="C265" s="3" t="s">
        <v>1334</v>
      </c>
      <c r="D265" s="3" t="s">
        <v>1286</v>
      </c>
      <c r="E265" s="3" t="s">
        <v>360</v>
      </c>
      <c r="F265" s="3" t="s">
        <v>1330</v>
      </c>
      <c r="G265" s="3" t="s">
        <v>370</v>
      </c>
      <c r="H265" s="3" t="s">
        <v>956</v>
      </c>
      <c r="I265" s="3" t="s">
        <v>510</v>
      </c>
    </row>
    <row r="266" customFormat="false" ht="15" hidden="false" customHeight="false" outlineLevel="0" collapsed="false">
      <c r="A266" s="3" t="s">
        <v>1765</v>
      </c>
      <c r="B266" s="3" t="s">
        <v>1764</v>
      </c>
      <c r="C266" s="3" t="s">
        <v>1334</v>
      </c>
      <c r="D266" s="3" t="s">
        <v>1286</v>
      </c>
      <c r="E266" s="3" t="s">
        <v>360</v>
      </c>
      <c r="F266" s="3" t="s">
        <v>1330</v>
      </c>
      <c r="G266" s="3" t="s">
        <v>370</v>
      </c>
      <c r="H266" s="3" t="s">
        <v>958</v>
      </c>
      <c r="I266" s="3" t="s">
        <v>531</v>
      </c>
    </row>
    <row r="267" customFormat="false" ht="15" hidden="false" customHeight="false" outlineLevel="0" collapsed="false">
      <c r="A267" s="3" t="s">
        <v>1766</v>
      </c>
      <c r="B267" s="3" t="s">
        <v>1764</v>
      </c>
      <c r="C267" s="3" t="s">
        <v>1334</v>
      </c>
      <c r="D267" s="3" t="s">
        <v>1286</v>
      </c>
      <c r="E267" s="3" t="s">
        <v>360</v>
      </c>
      <c r="F267" s="3" t="s">
        <v>1330</v>
      </c>
      <c r="G267" s="3" t="s">
        <v>370</v>
      </c>
      <c r="H267" s="3" t="s">
        <v>957</v>
      </c>
      <c r="I267" s="3" t="s">
        <v>518</v>
      </c>
    </row>
    <row r="268" customFormat="false" ht="15" hidden="false" customHeight="false" outlineLevel="0" collapsed="false">
      <c r="A268" s="3" t="s">
        <v>1767</v>
      </c>
      <c r="B268" s="3" t="s">
        <v>1768</v>
      </c>
      <c r="C268" s="3" t="s">
        <v>1334</v>
      </c>
      <c r="D268" s="3" t="s">
        <v>1286</v>
      </c>
      <c r="E268" s="3" t="s">
        <v>360</v>
      </c>
      <c r="F268" s="3" t="s">
        <v>1306</v>
      </c>
      <c r="G268" s="3" t="s">
        <v>370</v>
      </c>
      <c r="H268" s="3" t="s">
        <v>960</v>
      </c>
      <c r="I268" s="3" t="s">
        <v>516</v>
      </c>
    </row>
    <row r="269" customFormat="false" ht="15" hidden="false" customHeight="false" outlineLevel="0" collapsed="false">
      <c r="A269" s="3" t="s">
        <v>1769</v>
      </c>
      <c r="B269" s="3" t="s">
        <v>1770</v>
      </c>
      <c r="C269" s="3" t="s">
        <v>1314</v>
      </c>
      <c r="D269" s="3" t="s">
        <v>1286</v>
      </c>
      <c r="E269" s="3" t="s">
        <v>360</v>
      </c>
      <c r="F269" s="3" t="s">
        <v>1330</v>
      </c>
      <c r="G269" s="3" t="s">
        <v>370</v>
      </c>
      <c r="H269" s="3" t="s">
        <v>956</v>
      </c>
      <c r="I269" s="3" t="s">
        <v>510</v>
      </c>
    </row>
    <row r="270" customFormat="false" ht="15" hidden="false" customHeight="false" outlineLevel="0" collapsed="false">
      <c r="A270" s="3" t="s">
        <v>1771</v>
      </c>
      <c r="B270" s="3" t="s">
        <v>1770</v>
      </c>
      <c r="C270" s="3" t="s">
        <v>1314</v>
      </c>
      <c r="D270" s="3" t="s">
        <v>1286</v>
      </c>
      <c r="E270" s="3" t="s">
        <v>360</v>
      </c>
      <c r="F270" s="3" t="s">
        <v>1330</v>
      </c>
      <c r="G270" s="3" t="s">
        <v>370</v>
      </c>
      <c r="H270" s="3" t="s">
        <v>957</v>
      </c>
      <c r="I270" s="3" t="s">
        <v>518</v>
      </c>
    </row>
    <row r="271" customFormat="false" ht="15" hidden="false" customHeight="false" outlineLevel="0" collapsed="false">
      <c r="A271" s="3" t="s">
        <v>1772</v>
      </c>
      <c r="B271" s="3" t="s">
        <v>1770</v>
      </c>
      <c r="C271" s="3" t="s">
        <v>1314</v>
      </c>
      <c r="D271" s="3" t="s">
        <v>1286</v>
      </c>
      <c r="E271" s="3" t="s">
        <v>360</v>
      </c>
      <c r="F271" s="3" t="s">
        <v>1330</v>
      </c>
      <c r="G271" s="3" t="s">
        <v>370</v>
      </c>
      <c r="H271" s="3" t="s">
        <v>960</v>
      </c>
      <c r="I271" s="3" t="s">
        <v>516</v>
      </c>
    </row>
    <row r="272" customFormat="false" ht="15" hidden="false" customHeight="false" outlineLevel="0" collapsed="false">
      <c r="A272" s="3" t="s">
        <v>1773</v>
      </c>
      <c r="B272" s="3" t="s">
        <v>1774</v>
      </c>
      <c r="C272" s="3" t="s">
        <v>1405</v>
      </c>
      <c r="D272" s="3" t="s">
        <v>1286</v>
      </c>
      <c r="E272" s="3" t="s">
        <v>360</v>
      </c>
      <c r="F272" s="3" t="s">
        <v>1282</v>
      </c>
      <c r="G272" s="3" t="s">
        <v>371</v>
      </c>
      <c r="H272" s="3" t="s">
        <v>965</v>
      </c>
      <c r="I272" s="3" t="s">
        <v>538</v>
      </c>
    </row>
    <row r="273" customFormat="false" ht="15" hidden="false" customHeight="false" outlineLevel="0" collapsed="false">
      <c r="A273" s="3" t="s">
        <v>1775</v>
      </c>
      <c r="B273" s="3" t="s">
        <v>1774</v>
      </c>
      <c r="C273" s="3" t="s">
        <v>1405</v>
      </c>
      <c r="D273" s="3" t="s">
        <v>1286</v>
      </c>
      <c r="E273" s="3" t="s">
        <v>360</v>
      </c>
      <c r="F273" s="3" t="s">
        <v>1282</v>
      </c>
      <c r="G273" s="3" t="s">
        <v>371</v>
      </c>
      <c r="H273" s="3" t="s">
        <v>963</v>
      </c>
      <c r="I273" s="3" t="s">
        <v>540</v>
      </c>
    </row>
    <row r="274" customFormat="false" ht="15" hidden="false" customHeight="false" outlineLevel="0" collapsed="false">
      <c r="A274" s="3" t="s">
        <v>1776</v>
      </c>
      <c r="B274" s="3" t="s">
        <v>1777</v>
      </c>
      <c r="C274" s="3" t="s">
        <v>1352</v>
      </c>
      <c r="D274" s="3" t="s">
        <v>1286</v>
      </c>
      <c r="E274" s="3" t="s">
        <v>360</v>
      </c>
      <c r="F274" s="3" t="s">
        <v>1330</v>
      </c>
      <c r="G274" s="3" t="s">
        <v>373</v>
      </c>
      <c r="H274" s="3" t="s">
        <v>967</v>
      </c>
      <c r="I274" s="3" t="s">
        <v>564</v>
      </c>
    </row>
    <row r="275" customFormat="false" ht="15" hidden="false" customHeight="false" outlineLevel="0" collapsed="false">
      <c r="A275" s="3" t="s">
        <v>1778</v>
      </c>
      <c r="B275" s="3" t="s">
        <v>1777</v>
      </c>
      <c r="C275" s="3" t="s">
        <v>1352</v>
      </c>
      <c r="D275" s="3" t="s">
        <v>1286</v>
      </c>
      <c r="E275" s="3" t="s">
        <v>360</v>
      </c>
      <c r="F275" s="3" t="s">
        <v>1330</v>
      </c>
      <c r="G275" s="3" t="s">
        <v>373</v>
      </c>
      <c r="H275" s="3" t="s">
        <v>968</v>
      </c>
      <c r="I275" s="3" t="s">
        <v>524</v>
      </c>
    </row>
    <row r="276" customFormat="false" ht="15" hidden="false" customHeight="false" outlineLevel="0" collapsed="false">
      <c r="A276" s="3" t="s">
        <v>1779</v>
      </c>
      <c r="B276" s="3" t="s">
        <v>1777</v>
      </c>
      <c r="C276" s="3" t="s">
        <v>1352</v>
      </c>
      <c r="D276" s="3" t="s">
        <v>1286</v>
      </c>
      <c r="E276" s="3" t="s">
        <v>360</v>
      </c>
      <c r="F276" s="3" t="s">
        <v>1330</v>
      </c>
      <c r="G276" s="3" t="s">
        <v>373</v>
      </c>
      <c r="H276" s="3" t="s">
        <v>969</v>
      </c>
      <c r="I276" s="3" t="s">
        <v>538</v>
      </c>
    </row>
    <row r="277" customFormat="false" ht="15" hidden="false" customHeight="false" outlineLevel="0" collapsed="false">
      <c r="A277" s="3" t="s">
        <v>1780</v>
      </c>
      <c r="B277" s="3" t="s">
        <v>1781</v>
      </c>
      <c r="C277" s="3" t="s">
        <v>1474</v>
      </c>
      <c r="D277" s="3" t="s">
        <v>1286</v>
      </c>
      <c r="E277" s="3" t="s">
        <v>360</v>
      </c>
      <c r="F277" s="3" t="s">
        <v>1282</v>
      </c>
      <c r="G277" s="3" t="s">
        <v>373</v>
      </c>
      <c r="H277" s="3" t="s">
        <v>968</v>
      </c>
      <c r="I277" s="3" t="s">
        <v>524</v>
      </c>
    </row>
    <row r="278" customFormat="false" ht="15" hidden="false" customHeight="false" outlineLevel="0" collapsed="false">
      <c r="A278" s="3" t="s">
        <v>1782</v>
      </c>
      <c r="B278" s="3" t="s">
        <v>1783</v>
      </c>
      <c r="C278" s="3" t="s">
        <v>1474</v>
      </c>
      <c r="D278" s="3" t="s">
        <v>1281</v>
      </c>
      <c r="E278" s="3" t="s">
        <v>360</v>
      </c>
      <c r="F278" s="3" t="s">
        <v>1335</v>
      </c>
      <c r="G278" s="3" t="s">
        <v>373</v>
      </c>
      <c r="H278" s="3" t="s">
        <v>968</v>
      </c>
      <c r="I278" s="3" t="s">
        <v>524</v>
      </c>
    </row>
    <row r="279" customFormat="false" ht="15" hidden="false" customHeight="false" outlineLevel="0" collapsed="false">
      <c r="A279" s="3" t="s">
        <v>1784</v>
      </c>
      <c r="B279" s="3" t="s">
        <v>1783</v>
      </c>
      <c r="C279" s="3" t="s">
        <v>1474</v>
      </c>
      <c r="D279" s="3" t="s">
        <v>1281</v>
      </c>
      <c r="E279" s="3" t="s">
        <v>360</v>
      </c>
      <c r="F279" s="3" t="s">
        <v>1335</v>
      </c>
      <c r="G279" s="3" t="s">
        <v>373</v>
      </c>
      <c r="H279" s="3" t="s">
        <v>967</v>
      </c>
      <c r="I279" s="3" t="s">
        <v>564</v>
      </c>
    </row>
    <row r="280" customFormat="false" ht="15" hidden="false" customHeight="false" outlineLevel="0" collapsed="false">
      <c r="A280" s="3" t="s">
        <v>1785</v>
      </c>
      <c r="B280" s="3" t="s">
        <v>1783</v>
      </c>
      <c r="C280" s="3" t="s">
        <v>1474</v>
      </c>
      <c r="D280" s="3" t="s">
        <v>1281</v>
      </c>
      <c r="E280" s="3" t="s">
        <v>360</v>
      </c>
      <c r="F280" s="3" t="s">
        <v>1335</v>
      </c>
      <c r="G280" s="3" t="s">
        <v>373</v>
      </c>
      <c r="H280" s="3" t="s">
        <v>969</v>
      </c>
      <c r="I280" s="3" t="s">
        <v>538</v>
      </c>
    </row>
    <row r="281" customFormat="false" ht="15" hidden="false" customHeight="false" outlineLevel="0" collapsed="false">
      <c r="A281" s="3" t="s">
        <v>1786</v>
      </c>
      <c r="B281" s="3" t="s">
        <v>1787</v>
      </c>
      <c r="C281" s="3" t="s">
        <v>1364</v>
      </c>
      <c r="D281" s="3" t="s">
        <v>1286</v>
      </c>
      <c r="E281" s="3" t="s">
        <v>360</v>
      </c>
      <c r="F281" s="3" t="s">
        <v>1335</v>
      </c>
      <c r="G281" s="3" t="s">
        <v>374</v>
      </c>
      <c r="H281" s="3" t="s">
        <v>971</v>
      </c>
      <c r="I281" s="3" t="s">
        <v>538</v>
      </c>
    </row>
    <row r="282" customFormat="false" ht="15" hidden="false" customHeight="false" outlineLevel="0" collapsed="false">
      <c r="A282" s="3" t="s">
        <v>1788</v>
      </c>
      <c r="B282" s="3" t="s">
        <v>1789</v>
      </c>
      <c r="C282" s="3" t="s">
        <v>1364</v>
      </c>
      <c r="D282" s="3" t="s">
        <v>1286</v>
      </c>
      <c r="E282" s="3" t="s">
        <v>360</v>
      </c>
      <c r="F282" s="3" t="s">
        <v>1282</v>
      </c>
      <c r="G282" s="3" t="s">
        <v>374</v>
      </c>
      <c r="H282" s="3" t="s">
        <v>971</v>
      </c>
      <c r="I282" s="3" t="s">
        <v>538</v>
      </c>
    </row>
    <row r="283" customFormat="false" ht="15" hidden="false" customHeight="false" outlineLevel="0" collapsed="false">
      <c r="A283" s="3" t="s">
        <v>1790</v>
      </c>
      <c r="B283" s="3" t="s">
        <v>1789</v>
      </c>
      <c r="C283" s="3" t="s">
        <v>1364</v>
      </c>
      <c r="D283" s="3" t="s">
        <v>1286</v>
      </c>
      <c r="E283" s="3" t="s">
        <v>360</v>
      </c>
      <c r="F283" s="3" t="s">
        <v>1282</v>
      </c>
      <c r="G283" s="3" t="s">
        <v>374</v>
      </c>
      <c r="H283" s="3" t="s">
        <v>970</v>
      </c>
      <c r="I283" s="3" t="s">
        <v>518</v>
      </c>
    </row>
    <row r="284" customFormat="false" ht="15" hidden="false" customHeight="false" outlineLevel="0" collapsed="false">
      <c r="A284" s="3" t="s">
        <v>1791</v>
      </c>
      <c r="B284" s="3" t="s">
        <v>1792</v>
      </c>
      <c r="C284" s="3" t="s">
        <v>1532</v>
      </c>
      <c r="D284" s="3" t="s">
        <v>1281</v>
      </c>
      <c r="E284" s="3" t="s">
        <v>360</v>
      </c>
      <c r="F284" s="3" t="s">
        <v>1335</v>
      </c>
      <c r="G284" s="3" t="s">
        <v>376</v>
      </c>
      <c r="H284" s="3" t="s">
        <v>975</v>
      </c>
      <c r="I284" s="3" t="s">
        <v>524</v>
      </c>
    </row>
    <row r="285" customFormat="false" ht="15" hidden="false" customHeight="false" outlineLevel="0" collapsed="false">
      <c r="A285" s="3" t="s">
        <v>1793</v>
      </c>
      <c r="B285" s="3" t="s">
        <v>1792</v>
      </c>
      <c r="C285" s="3" t="s">
        <v>1532</v>
      </c>
      <c r="D285" s="3" t="s">
        <v>1281</v>
      </c>
      <c r="E285" s="3" t="s">
        <v>360</v>
      </c>
      <c r="F285" s="3" t="s">
        <v>1335</v>
      </c>
      <c r="G285" s="3" t="s">
        <v>376</v>
      </c>
      <c r="H285" s="3" t="s">
        <v>974</v>
      </c>
      <c r="I285" s="3" t="s">
        <v>564</v>
      </c>
    </row>
    <row r="286" customFormat="false" ht="15" hidden="false" customHeight="false" outlineLevel="0" collapsed="false">
      <c r="A286" s="3" t="s">
        <v>1794</v>
      </c>
      <c r="B286" s="3" t="s">
        <v>1795</v>
      </c>
      <c r="C286" s="3" t="s">
        <v>1305</v>
      </c>
      <c r="D286" s="3" t="s">
        <v>1281</v>
      </c>
      <c r="E286" s="3" t="s">
        <v>360</v>
      </c>
      <c r="F286" s="3" t="s">
        <v>1306</v>
      </c>
      <c r="G286" s="3" t="s">
        <v>377</v>
      </c>
      <c r="H286" s="3" t="s">
        <v>978</v>
      </c>
      <c r="I286" s="3" t="s">
        <v>538</v>
      </c>
    </row>
    <row r="287" customFormat="false" ht="15" hidden="false" customHeight="false" outlineLevel="0" collapsed="false">
      <c r="A287" s="3" t="s">
        <v>1796</v>
      </c>
      <c r="B287" s="3" t="s">
        <v>1795</v>
      </c>
      <c r="C287" s="3" t="s">
        <v>1305</v>
      </c>
      <c r="D287" s="3" t="s">
        <v>1281</v>
      </c>
      <c r="E287" s="3" t="s">
        <v>360</v>
      </c>
      <c r="F287" s="3" t="s">
        <v>1306</v>
      </c>
      <c r="G287" s="3" t="s">
        <v>377</v>
      </c>
      <c r="H287" s="3" t="s">
        <v>977</v>
      </c>
      <c r="I287" s="3" t="s">
        <v>575</v>
      </c>
    </row>
    <row r="288" customFormat="false" ht="15" hidden="false" customHeight="false" outlineLevel="0" collapsed="false">
      <c r="A288" s="3" t="s">
        <v>1797</v>
      </c>
      <c r="B288" s="3" t="s">
        <v>1798</v>
      </c>
      <c r="C288" s="3" t="s">
        <v>1305</v>
      </c>
      <c r="D288" s="3" t="s">
        <v>1286</v>
      </c>
      <c r="E288" s="3" t="s">
        <v>360</v>
      </c>
      <c r="F288" s="3" t="s">
        <v>1306</v>
      </c>
      <c r="G288" s="3" t="s">
        <v>377</v>
      </c>
      <c r="H288" s="3" t="s">
        <v>977</v>
      </c>
      <c r="I288" s="3" t="s">
        <v>575</v>
      </c>
    </row>
    <row r="289" customFormat="false" ht="15" hidden="false" customHeight="false" outlineLevel="0" collapsed="false">
      <c r="A289" s="3" t="s">
        <v>1799</v>
      </c>
      <c r="B289" s="3" t="s">
        <v>1798</v>
      </c>
      <c r="C289" s="3" t="s">
        <v>1305</v>
      </c>
      <c r="D289" s="3" t="s">
        <v>1286</v>
      </c>
      <c r="E289" s="3" t="s">
        <v>360</v>
      </c>
      <c r="F289" s="3" t="s">
        <v>1306</v>
      </c>
      <c r="G289" s="3" t="s">
        <v>377</v>
      </c>
      <c r="H289" s="3" t="s">
        <v>978</v>
      </c>
      <c r="I289" s="3" t="s">
        <v>538</v>
      </c>
    </row>
    <row r="290" customFormat="false" ht="15" hidden="false" customHeight="false" outlineLevel="0" collapsed="false">
      <c r="A290" s="3" t="s">
        <v>1800</v>
      </c>
      <c r="B290" s="3" t="s">
        <v>1801</v>
      </c>
      <c r="C290" s="3" t="s">
        <v>1455</v>
      </c>
      <c r="D290" s="3" t="s">
        <v>1286</v>
      </c>
      <c r="E290" s="3" t="s">
        <v>360</v>
      </c>
      <c r="F290" s="3" t="s">
        <v>1282</v>
      </c>
      <c r="G290" s="3" t="s">
        <v>378</v>
      </c>
      <c r="H290" s="3" t="s">
        <v>980</v>
      </c>
      <c r="I290" s="3" t="s">
        <v>522</v>
      </c>
    </row>
    <row r="291" customFormat="false" ht="15" hidden="false" customHeight="false" outlineLevel="0" collapsed="false">
      <c r="A291" s="3" t="s">
        <v>1802</v>
      </c>
      <c r="B291" s="3" t="s">
        <v>1803</v>
      </c>
      <c r="C291" s="3" t="s">
        <v>1488</v>
      </c>
      <c r="D291" s="3" t="s">
        <v>1281</v>
      </c>
      <c r="E291" s="3" t="s">
        <v>360</v>
      </c>
      <c r="F291" s="3" t="s">
        <v>1306</v>
      </c>
      <c r="G291" s="3" t="s">
        <v>378</v>
      </c>
      <c r="H291" s="3" t="s">
        <v>980</v>
      </c>
      <c r="I291" s="3" t="s">
        <v>522</v>
      </c>
    </row>
    <row r="292" customFormat="false" ht="15" hidden="false" customHeight="false" outlineLevel="0" collapsed="false">
      <c r="A292" s="3" t="s">
        <v>1804</v>
      </c>
      <c r="B292" s="3" t="s">
        <v>1805</v>
      </c>
      <c r="C292" s="3" t="s">
        <v>1327</v>
      </c>
      <c r="D292" s="3" t="s">
        <v>1281</v>
      </c>
      <c r="E292" s="3" t="s">
        <v>360</v>
      </c>
      <c r="F292" s="3" t="s">
        <v>1330</v>
      </c>
      <c r="G292" s="3" t="s">
        <v>380</v>
      </c>
      <c r="H292" s="3" t="s">
        <v>985</v>
      </c>
      <c r="I292" s="3" t="s">
        <v>510</v>
      </c>
    </row>
    <row r="293" customFormat="false" ht="15" hidden="false" customHeight="false" outlineLevel="0" collapsed="false">
      <c r="A293" s="3" t="s">
        <v>1806</v>
      </c>
      <c r="B293" s="3" t="s">
        <v>1805</v>
      </c>
      <c r="C293" s="3" t="s">
        <v>1327</v>
      </c>
      <c r="D293" s="3" t="s">
        <v>1281</v>
      </c>
      <c r="E293" s="3" t="s">
        <v>360</v>
      </c>
      <c r="F293" s="3" t="s">
        <v>1330</v>
      </c>
      <c r="G293" s="3" t="s">
        <v>380</v>
      </c>
      <c r="H293" s="3" t="s">
        <v>989</v>
      </c>
      <c r="I293" s="3" t="s">
        <v>518</v>
      </c>
    </row>
    <row r="294" customFormat="false" ht="15" hidden="false" customHeight="false" outlineLevel="0" collapsed="false">
      <c r="A294" s="3" t="s">
        <v>1807</v>
      </c>
      <c r="B294" s="3" t="s">
        <v>1808</v>
      </c>
      <c r="C294" s="3" t="s">
        <v>1355</v>
      </c>
      <c r="D294" s="3" t="s">
        <v>1286</v>
      </c>
      <c r="E294" s="3" t="s">
        <v>360</v>
      </c>
      <c r="F294" s="3" t="s">
        <v>1306</v>
      </c>
      <c r="G294" s="3" t="s">
        <v>381</v>
      </c>
      <c r="H294" s="3" t="s">
        <v>991</v>
      </c>
      <c r="I294" s="3" t="s">
        <v>535</v>
      </c>
    </row>
    <row r="295" customFormat="false" ht="15" hidden="false" customHeight="false" outlineLevel="0" collapsed="false">
      <c r="A295" s="3" t="s">
        <v>1809</v>
      </c>
      <c r="B295" s="3" t="s">
        <v>1808</v>
      </c>
      <c r="C295" s="3" t="s">
        <v>1355</v>
      </c>
      <c r="D295" s="3" t="s">
        <v>1286</v>
      </c>
      <c r="E295" s="3" t="s">
        <v>360</v>
      </c>
      <c r="F295" s="3" t="s">
        <v>1306</v>
      </c>
      <c r="G295" s="3" t="s">
        <v>381</v>
      </c>
      <c r="H295" s="3" t="s">
        <v>994</v>
      </c>
      <c r="I295" s="3" t="s">
        <v>548</v>
      </c>
    </row>
    <row r="296" customFormat="false" ht="15" hidden="false" customHeight="false" outlineLevel="0" collapsed="false">
      <c r="A296" s="3" t="s">
        <v>1810</v>
      </c>
      <c r="B296" s="3" t="s">
        <v>1808</v>
      </c>
      <c r="C296" s="3" t="s">
        <v>1355</v>
      </c>
      <c r="D296" s="3" t="s">
        <v>1286</v>
      </c>
      <c r="E296" s="3" t="s">
        <v>360</v>
      </c>
      <c r="F296" s="3" t="s">
        <v>1306</v>
      </c>
      <c r="G296" s="3" t="s">
        <v>381</v>
      </c>
      <c r="H296" s="3" t="s">
        <v>990</v>
      </c>
      <c r="I296" s="3" t="s">
        <v>510</v>
      </c>
    </row>
    <row r="297" customFormat="false" ht="15" hidden="false" customHeight="false" outlineLevel="0" collapsed="false">
      <c r="A297" s="3" t="s">
        <v>1811</v>
      </c>
      <c r="B297" s="3" t="s">
        <v>1812</v>
      </c>
      <c r="C297" s="3" t="s">
        <v>1319</v>
      </c>
      <c r="D297" s="3" t="s">
        <v>1281</v>
      </c>
      <c r="E297" s="3" t="s">
        <v>360</v>
      </c>
      <c r="F297" s="3" t="s">
        <v>1282</v>
      </c>
      <c r="G297" s="3" t="s">
        <v>381</v>
      </c>
      <c r="H297" s="3" t="s">
        <v>994</v>
      </c>
      <c r="I297" s="3" t="s">
        <v>548</v>
      </c>
    </row>
    <row r="298" customFormat="false" ht="15" hidden="false" customHeight="false" outlineLevel="0" collapsed="false">
      <c r="A298" s="3" t="s">
        <v>1813</v>
      </c>
      <c r="B298" s="3" t="s">
        <v>1812</v>
      </c>
      <c r="C298" s="3" t="s">
        <v>1319</v>
      </c>
      <c r="D298" s="3" t="s">
        <v>1281</v>
      </c>
      <c r="E298" s="3" t="s">
        <v>360</v>
      </c>
      <c r="F298" s="3" t="s">
        <v>1282</v>
      </c>
      <c r="G298" s="3" t="s">
        <v>381</v>
      </c>
      <c r="H298" s="3" t="s">
        <v>993</v>
      </c>
      <c r="I298" s="3" t="s">
        <v>552</v>
      </c>
    </row>
    <row r="299" customFormat="false" ht="15" hidden="false" customHeight="false" outlineLevel="0" collapsed="false">
      <c r="A299" s="3" t="s">
        <v>1814</v>
      </c>
      <c r="B299" s="3" t="s">
        <v>1815</v>
      </c>
      <c r="C299" s="3" t="s">
        <v>1293</v>
      </c>
      <c r="D299" s="3" t="s">
        <v>1286</v>
      </c>
      <c r="E299" s="3" t="s">
        <v>360</v>
      </c>
      <c r="F299" s="3" t="s">
        <v>1330</v>
      </c>
      <c r="G299" s="3" t="s">
        <v>383</v>
      </c>
      <c r="H299" s="3" t="s">
        <v>995</v>
      </c>
      <c r="I299" s="3" t="s">
        <v>524</v>
      </c>
    </row>
    <row r="300" customFormat="false" ht="15" hidden="false" customHeight="false" outlineLevel="0" collapsed="false">
      <c r="A300" s="3" t="s">
        <v>1816</v>
      </c>
      <c r="B300" s="3" t="s">
        <v>1815</v>
      </c>
      <c r="C300" s="3" t="s">
        <v>1293</v>
      </c>
      <c r="D300" s="3" t="s">
        <v>1286</v>
      </c>
      <c r="E300" s="3" t="s">
        <v>360</v>
      </c>
      <c r="F300" s="3" t="s">
        <v>1330</v>
      </c>
      <c r="G300" s="3" t="s">
        <v>383</v>
      </c>
      <c r="H300" s="3" t="s">
        <v>996</v>
      </c>
      <c r="I300" s="3" t="s">
        <v>564</v>
      </c>
    </row>
    <row r="301" customFormat="false" ht="15" hidden="false" customHeight="false" outlineLevel="0" collapsed="false">
      <c r="A301" s="3" t="s">
        <v>1817</v>
      </c>
      <c r="B301" s="3" t="s">
        <v>1818</v>
      </c>
      <c r="C301" s="3" t="s">
        <v>1298</v>
      </c>
      <c r="D301" s="3" t="s">
        <v>1286</v>
      </c>
      <c r="E301" s="3" t="s">
        <v>360</v>
      </c>
      <c r="F301" s="3" t="s">
        <v>1282</v>
      </c>
      <c r="G301" s="3" t="s">
        <v>385</v>
      </c>
      <c r="H301" s="3" t="s">
        <v>997</v>
      </c>
      <c r="I301" s="3" t="s">
        <v>516</v>
      </c>
    </row>
    <row r="302" customFormat="false" ht="15" hidden="false" customHeight="false" outlineLevel="0" collapsed="false">
      <c r="A302" s="3" t="s">
        <v>1819</v>
      </c>
      <c r="B302" s="3" t="s">
        <v>1820</v>
      </c>
      <c r="C302" s="3" t="s">
        <v>1298</v>
      </c>
      <c r="D302" s="3" t="s">
        <v>1281</v>
      </c>
      <c r="E302" s="3" t="s">
        <v>360</v>
      </c>
      <c r="F302" s="3" t="s">
        <v>1282</v>
      </c>
      <c r="G302" s="3" t="s">
        <v>387</v>
      </c>
      <c r="H302" s="3" t="s">
        <v>1000</v>
      </c>
      <c r="I302" s="3" t="s">
        <v>522</v>
      </c>
    </row>
    <row r="303" customFormat="false" ht="15" hidden="false" customHeight="false" outlineLevel="0" collapsed="false">
      <c r="A303" s="3" t="s">
        <v>1821</v>
      </c>
      <c r="B303" s="3" t="s">
        <v>1820</v>
      </c>
      <c r="C303" s="3" t="s">
        <v>1298</v>
      </c>
      <c r="D303" s="3" t="s">
        <v>1281</v>
      </c>
      <c r="E303" s="3" t="s">
        <v>360</v>
      </c>
      <c r="F303" s="3" t="s">
        <v>1282</v>
      </c>
      <c r="G303" s="3" t="s">
        <v>387</v>
      </c>
      <c r="H303" s="3" t="s">
        <v>1002</v>
      </c>
      <c r="I303" s="3" t="s">
        <v>575</v>
      </c>
    </row>
    <row r="304" customFormat="false" ht="15" hidden="false" customHeight="false" outlineLevel="0" collapsed="false">
      <c r="A304" s="3" t="s">
        <v>1822</v>
      </c>
      <c r="B304" s="3" t="s">
        <v>1820</v>
      </c>
      <c r="C304" s="3" t="s">
        <v>1298</v>
      </c>
      <c r="D304" s="3" t="s">
        <v>1281</v>
      </c>
      <c r="E304" s="3" t="s">
        <v>360</v>
      </c>
      <c r="F304" s="3" t="s">
        <v>1282</v>
      </c>
      <c r="G304" s="3" t="s">
        <v>387</v>
      </c>
      <c r="H304" s="3" t="s">
        <v>1001</v>
      </c>
      <c r="I304" s="3" t="s">
        <v>543</v>
      </c>
    </row>
    <row r="305" customFormat="false" ht="15" hidden="false" customHeight="false" outlineLevel="0" collapsed="false">
      <c r="A305" s="3" t="s">
        <v>1823</v>
      </c>
      <c r="B305" s="3" t="s">
        <v>1824</v>
      </c>
      <c r="C305" s="3" t="s">
        <v>1402</v>
      </c>
      <c r="D305" s="3" t="s">
        <v>1286</v>
      </c>
      <c r="E305" s="3" t="s">
        <v>360</v>
      </c>
      <c r="F305" s="3" t="s">
        <v>1287</v>
      </c>
      <c r="G305" s="3" t="s">
        <v>387</v>
      </c>
      <c r="H305" s="3" t="s">
        <v>1001</v>
      </c>
      <c r="I305" s="3" t="s">
        <v>543</v>
      </c>
    </row>
    <row r="306" customFormat="false" ht="15" hidden="false" customHeight="false" outlineLevel="0" collapsed="false">
      <c r="A306" s="3" t="s">
        <v>1825</v>
      </c>
      <c r="B306" s="3" t="s">
        <v>1824</v>
      </c>
      <c r="C306" s="3" t="s">
        <v>1402</v>
      </c>
      <c r="D306" s="3" t="s">
        <v>1286</v>
      </c>
      <c r="E306" s="3" t="s">
        <v>360</v>
      </c>
      <c r="F306" s="3" t="s">
        <v>1287</v>
      </c>
      <c r="G306" s="3" t="s">
        <v>387</v>
      </c>
      <c r="H306" s="3" t="s">
        <v>1000</v>
      </c>
      <c r="I306" s="3" t="s">
        <v>522</v>
      </c>
    </row>
    <row r="307" customFormat="false" ht="15" hidden="false" customHeight="false" outlineLevel="0" collapsed="false">
      <c r="A307" s="3" t="s">
        <v>1826</v>
      </c>
      <c r="B307" s="3" t="s">
        <v>1824</v>
      </c>
      <c r="C307" s="3" t="s">
        <v>1402</v>
      </c>
      <c r="D307" s="3" t="s">
        <v>1286</v>
      </c>
      <c r="E307" s="3" t="s">
        <v>360</v>
      </c>
      <c r="F307" s="3" t="s">
        <v>1287</v>
      </c>
      <c r="G307" s="3" t="s">
        <v>387</v>
      </c>
      <c r="H307" s="3" t="s">
        <v>1003</v>
      </c>
      <c r="I307" s="3" t="s">
        <v>516</v>
      </c>
    </row>
    <row r="308" customFormat="false" ht="15" hidden="false" customHeight="false" outlineLevel="0" collapsed="false">
      <c r="A308" s="3" t="s">
        <v>1827</v>
      </c>
      <c r="B308" s="3" t="s">
        <v>1828</v>
      </c>
      <c r="C308" s="3" t="s">
        <v>1364</v>
      </c>
      <c r="D308" s="3" t="s">
        <v>1286</v>
      </c>
      <c r="E308" s="3" t="s">
        <v>360</v>
      </c>
      <c r="F308" s="3" t="s">
        <v>1282</v>
      </c>
      <c r="G308" s="3" t="s">
        <v>389</v>
      </c>
      <c r="H308" s="3" t="s">
        <v>1004</v>
      </c>
      <c r="I308" s="3" t="s">
        <v>522</v>
      </c>
    </row>
    <row r="309" customFormat="false" ht="15" hidden="false" customHeight="false" outlineLevel="0" collapsed="false">
      <c r="A309" s="3" t="s">
        <v>1829</v>
      </c>
      <c r="B309" s="3" t="s">
        <v>1830</v>
      </c>
      <c r="C309" s="3" t="s">
        <v>1310</v>
      </c>
      <c r="D309" s="3" t="s">
        <v>1281</v>
      </c>
      <c r="E309" s="3" t="s">
        <v>360</v>
      </c>
      <c r="F309" s="3" t="s">
        <v>1306</v>
      </c>
      <c r="G309" s="3" t="s">
        <v>389</v>
      </c>
      <c r="H309" s="3" t="s">
        <v>1004</v>
      </c>
      <c r="I309" s="3" t="s">
        <v>522</v>
      </c>
    </row>
    <row r="310" customFormat="false" ht="15" hidden="false" customHeight="false" outlineLevel="0" collapsed="false">
      <c r="A310" s="3" t="s">
        <v>1831</v>
      </c>
      <c r="B310" s="3" t="s">
        <v>1832</v>
      </c>
      <c r="C310" s="3" t="s">
        <v>1293</v>
      </c>
      <c r="D310" s="3" t="s">
        <v>1281</v>
      </c>
      <c r="E310" s="3" t="s">
        <v>360</v>
      </c>
      <c r="F310" s="3" t="s">
        <v>1330</v>
      </c>
      <c r="G310" s="3" t="s">
        <v>389</v>
      </c>
      <c r="H310" s="3" t="s">
        <v>1004</v>
      </c>
      <c r="I310" s="3" t="s">
        <v>522</v>
      </c>
    </row>
    <row r="311" customFormat="false" ht="15" hidden="false" customHeight="false" outlineLevel="0" collapsed="false">
      <c r="A311" s="3" t="s">
        <v>1833</v>
      </c>
      <c r="B311" s="3" t="s">
        <v>1834</v>
      </c>
      <c r="C311" s="3" t="s">
        <v>1352</v>
      </c>
      <c r="D311" s="3" t="s">
        <v>1281</v>
      </c>
      <c r="E311" s="3" t="s">
        <v>360</v>
      </c>
      <c r="F311" s="3" t="s">
        <v>1282</v>
      </c>
      <c r="G311" s="3" t="s">
        <v>391</v>
      </c>
      <c r="H311" s="3" t="s">
        <v>1011</v>
      </c>
      <c r="I311" s="3" t="s">
        <v>531</v>
      </c>
    </row>
    <row r="312" customFormat="false" ht="15" hidden="false" customHeight="false" outlineLevel="0" collapsed="false">
      <c r="A312" s="3" t="s">
        <v>1835</v>
      </c>
      <c r="B312" s="3" t="s">
        <v>1834</v>
      </c>
      <c r="C312" s="3" t="s">
        <v>1352</v>
      </c>
      <c r="D312" s="3" t="s">
        <v>1281</v>
      </c>
      <c r="E312" s="3" t="s">
        <v>360</v>
      </c>
      <c r="F312" s="3" t="s">
        <v>1282</v>
      </c>
      <c r="G312" s="3" t="s">
        <v>391</v>
      </c>
      <c r="H312" s="3" t="s">
        <v>1008</v>
      </c>
      <c r="I312" s="3" t="s">
        <v>529</v>
      </c>
    </row>
    <row r="313" customFormat="false" ht="15" hidden="false" customHeight="false" outlineLevel="0" collapsed="false">
      <c r="A313" s="3" t="s">
        <v>1836</v>
      </c>
      <c r="B313" s="3" t="s">
        <v>1837</v>
      </c>
      <c r="C313" s="3" t="s">
        <v>1474</v>
      </c>
      <c r="D313" s="3" t="s">
        <v>1286</v>
      </c>
      <c r="E313" s="3" t="s">
        <v>360</v>
      </c>
      <c r="F313" s="3" t="s">
        <v>1306</v>
      </c>
      <c r="G313" s="3" t="s">
        <v>391</v>
      </c>
      <c r="H313" s="3" t="s">
        <v>1007</v>
      </c>
      <c r="I313" s="3" t="s">
        <v>522</v>
      </c>
    </row>
    <row r="314" customFormat="false" ht="15" hidden="false" customHeight="false" outlineLevel="0" collapsed="false">
      <c r="A314" s="3" t="s">
        <v>1838</v>
      </c>
      <c r="B314" s="3" t="s">
        <v>1839</v>
      </c>
      <c r="C314" s="3" t="s">
        <v>1280</v>
      </c>
      <c r="D314" s="3" t="s">
        <v>1286</v>
      </c>
      <c r="E314" s="3" t="s">
        <v>360</v>
      </c>
      <c r="F314" s="3" t="s">
        <v>1282</v>
      </c>
      <c r="G314" s="3" t="s">
        <v>392</v>
      </c>
      <c r="H314" s="3" t="s">
        <v>1013</v>
      </c>
      <c r="I314" s="3" t="s">
        <v>552</v>
      </c>
    </row>
    <row r="315" customFormat="false" ht="15" hidden="false" customHeight="false" outlineLevel="0" collapsed="false">
      <c r="A315" s="3" t="s">
        <v>1840</v>
      </c>
      <c r="B315" s="3" t="s">
        <v>1841</v>
      </c>
      <c r="C315" s="3" t="s">
        <v>1302</v>
      </c>
      <c r="D315" s="3" t="s">
        <v>1281</v>
      </c>
      <c r="E315" s="3" t="s">
        <v>360</v>
      </c>
      <c r="F315" s="3" t="s">
        <v>1306</v>
      </c>
      <c r="G315" s="3" t="s">
        <v>392</v>
      </c>
      <c r="H315" s="3" t="s">
        <v>1013</v>
      </c>
      <c r="I315" s="3" t="s">
        <v>552</v>
      </c>
    </row>
    <row r="316" customFormat="false" ht="15" hidden="false" customHeight="false" outlineLevel="0" collapsed="false">
      <c r="A316" s="3" t="s">
        <v>1842</v>
      </c>
      <c r="B316" s="3" t="s">
        <v>1843</v>
      </c>
      <c r="C316" s="3" t="s">
        <v>1323</v>
      </c>
      <c r="D316" s="3" t="s">
        <v>1286</v>
      </c>
      <c r="E316" s="3" t="s">
        <v>360</v>
      </c>
      <c r="F316" s="3" t="s">
        <v>1282</v>
      </c>
      <c r="G316" s="3" t="s">
        <v>394</v>
      </c>
      <c r="H316" s="3" t="s">
        <v>1019</v>
      </c>
      <c r="I316" s="3" t="s">
        <v>538</v>
      </c>
    </row>
    <row r="317" customFormat="false" ht="15" hidden="false" customHeight="false" outlineLevel="0" collapsed="false">
      <c r="A317" s="3" t="s">
        <v>1844</v>
      </c>
      <c r="B317" s="3" t="s">
        <v>1845</v>
      </c>
      <c r="C317" s="3" t="s">
        <v>1302</v>
      </c>
      <c r="D317" s="3" t="s">
        <v>1286</v>
      </c>
      <c r="E317" s="3" t="s">
        <v>360</v>
      </c>
      <c r="F317" s="3" t="s">
        <v>1287</v>
      </c>
      <c r="G317" s="3" t="s">
        <v>396</v>
      </c>
      <c r="H317" s="3" t="s">
        <v>1024</v>
      </c>
      <c r="I317" s="3" t="s">
        <v>518</v>
      </c>
    </row>
    <row r="318" customFormat="false" ht="15" hidden="false" customHeight="false" outlineLevel="0" collapsed="false">
      <c r="A318" s="3" t="s">
        <v>1846</v>
      </c>
      <c r="B318" s="3" t="s">
        <v>1847</v>
      </c>
      <c r="C318" s="3" t="s">
        <v>1455</v>
      </c>
      <c r="D318" s="3" t="s">
        <v>1281</v>
      </c>
      <c r="E318" s="3" t="s">
        <v>360</v>
      </c>
      <c r="F318" s="3" t="s">
        <v>1335</v>
      </c>
      <c r="G318" s="3" t="s">
        <v>398</v>
      </c>
      <c r="H318" s="3" t="s">
        <v>1032</v>
      </c>
      <c r="I318" s="3" t="s">
        <v>548</v>
      </c>
    </row>
    <row r="319" customFormat="false" ht="15" hidden="false" customHeight="false" outlineLevel="0" collapsed="false">
      <c r="A319" s="3" t="s">
        <v>1848</v>
      </c>
      <c r="B319" s="3" t="s">
        <v>1849</v>
      </c>
      <c r="C319" s="3" t="s">
        <v>1455</v>
      </c>
      <c r="D319" s="3" t="s">
        <v>1286</v>
      </c>
      <c r="E319" s="3" t="s">
        <v>360</v>
      </c>
      <c r="F319" s="3" t="s">
        <v>1306</v>
      </c>
      <c r="G319" s="3" t="s">
        <v>398</v>
      </c>
      <c r="H319" s="3" t="s">
        <v>1030</v>
      </c>
      <c r="I319" s="3" t="s">
        <v>540</v>
      </c>
    </row>
    <row r="320" customFormat="false" ht="15" hidden="false" customHeight="false" outlineLevel="0" collapsed="false">
      <c r="A320" s="3" t="s">
        <v>1850</v>
      </c>
      <c r="B320" s="3" t="s">
        <v>1851</v>
      </c>
      <c r="C320" s="3" t="s">
        <v>1319</v>
      </c>
      <c r="D320" s="3" t="s">
        <v>1281</v>
      </c>
      <c r="E320" s="3" t="s">
        <v>360</v>
      </c>
      <c r="F320" s="3" t="s">
        <v>1306</v>
      </c>
      <c r="G320" s="3" t="s">
        <v>400</v>
      </c>
      <c r="H320" s="3" t="s">
        <v>1033</v>
      </c>
      <c r="I320" s="3" t="s">
        <v>529</v>
      </c>
    </row>
    <row r="321" customFormat="false" ht="15" hidden="false" customHeight="false" outlineLevel="0" collapsed="false">
      <c r="A321" s="3" t="s">
        <v>1852</v>
      </c>
      <c r="B321" s="3" t="s">
        <v>1851</v>
      </c>
      <c r="C321" s="3" t="s">
        <v>1319</v>
      </c>
      <c r="D321" s="3" t="s">
        <v>1281</v>
      </c>
      <c r="E321" s="3" t="s">
        <v>360</v>
      </c>
      <c r="F321" s="3" t="s">
        <v>1306</v>
      </c>
      <c r="G321" s="3" t="s">
        <v>400</v>
      </c>
      <c r="H321" s="3" t="s">
        <v>1035</v>
      </c>
      <c r="I321" s="3" t="s">
        <v>552</v>
      </c>
    </row>
    <row r="322" customFormat="false" ht="15" hidden="false" customHeight="false" outlineLevel="0" collapsed="false">
      <c r="A322" s="3" t="s">
        <v>1853</v>
      </c>
      <c r="B322" s="3" t="s">
        <v>1854</v>
      </c>
      <c r="C322" s="3" t="s">
        <v>1364</v>
      </c>
      <c r="D322" s="3" t="s">
        <v>1281</v>
      </c>
      <c r="E322" s="3" t="s">
        <v>360</v>
      </c>
      <c r="F322" s="3" t="s">
        <v>1287</v>
      </c>
      <c r="G322" s="3" t="s">
        <v>402</v>
      </c>
      <c r="H322" s="3" t="s">
        <v>1038</v>
      </c>
      <c r="I322" s="3" t="s">
        <v>531</v>
      </c>
    </row>
    <row r="323" customFormat="false" ht="15" hidden="false" customHeight="false" outlineLevel="0" collapsed="false">
      <c r="A323" s="3" t="s">
        <v>1855</v>
      </c>
      <c r="B323" s="3" t="s">
        <v>1856</v>
      </c>
      <c r="C323" s="3" t="s">
        <v>1305</v>
      </c>
      <c r="D323" s="3" t="s">
        <v>1286</v>
      </c>
      <c r="E323" s="3" t="s">
        <v>360</v>
      </c>
      <c r="F323" s="3" t="s">
        <v>1335</v>
      </c>
      <c r="G323" s="3" t="s">
        <v>402</v>
      </c>
      <c r="H323" s="3" t="s">
        <v>1038</v>
      </c>
      <c r="I323" s="3" t="s">
        <v>531</v>
      </c>
    </row>
    <row r="324" customFormat="false" ht="15" hidden="false" customHeight="false" outlineLevel="0" collapsed="false">
      <c r="A324" s="3" t="s">
        <v>1857</v>
      </c>
      <c r="B324" s="3" t="s">
        <v>1858</v>
      </c>
      <c r="C324" s="3" t="s">
        <v>1302</v>
      </c>
      <c r="D324" s="3" t="s">
        <v>1286</v>
      </c>
      <c r="E324" s="3" t="s">
        <v>360</v>
      </c>
      <c r="F324" s="3" t="s">
        <v>1306</v>
      </c>
      <c r="G324" s="3" t="s">
        <v>403</v>
      </c>
      <c r="H324" s="3" t="s">
        <v>1043</v>
      </c>
      <c r="I324" s="3" t="s">
        <v>552</v>
      </c>
    </row>
    <row r="325" customFormat="false" ht="15" hidden="false" customHeight="false" outlineLevel="0" collapsed="false">
      <c r="A325" s="3" t="s">
        <v>1859</v>
      </c>
      <c r="B325" s="3" t="s">
        <v>1858</v>
      </c>
      <c r="C325" s="3" t="s">
        <v>1302</v>
      </c>
      <c r="D325" s="3" t="s">
        <v>1286</v>
      </c>
      <c r="E325" s="3" t="s">
        <v>360</v>
      </c>
      <c r="F325" s="3" t="s">
        <v>1306</v>
      </c>
      <c r="G325" s="3" t="s">
        <v>403</v>
      </c>
      <c r="H325" s="3" t="s">
        <v>1041</v>
      </c>
      <c r="I325" s="3" t="s">
        <v>524</v>
      </c>
    </row>
    <row r="326" customFormat="false" ht="15" hidden="false" customHeight="false" outlineLevel="0" collapsed="false">
      <c r="A326" s="3" t="s">
        <v>1860</v>
      </c>
      <c r="B326" s="3" t="s">
        <v>1858</v>
      </c>
      <c r="C326" s="3" t="s">
        <v>1302</v>
      </c>
      <c r="D326" s="3" t="s">
        <v>1286</v>
      </c>
      <c r="E326" s="3" t="s">
        <v>360</v>
      </c>
      <c r="F326" s="3" t="s">
        <v>1306</v>
      </c>
      <c r="G326" s="3" t="s">
        <v>403</v>
      </c>
      <c r="H326" s="3" t="s">
        <v>1040</v>
      </c>
      <c r="I326" s="3" t="s">
        <v>540</v>
      </c>
    </row>
    <row r="327" customFormat="false" ht="15" hidden="false" customHeight="false" outlineLevel="0" collapsed="false">
      <c r="A327" s="3" t="s">
        <v>1861</v>
      </c>
      <c r="B327" s="3" t="s">
        <v>1862</v>
      </c>
      <c r="C327" s="3" t="s">
        <v>1455</v>
      </c>
      <c r="D327" s="3" t="s">
        <v>1281</v>
      </c>
      <c r="E327" s="3" t="s">
        <v>360</v>
      </c>
      <c r="F327" s="3" t="s">
        <v>1330</v>
      </c>
      <c r="G327" s="3" t="s">
        <v>405</v>
      </c>
      <c r="H327" s="3" t="s">
        <v>1050</v>
      </c>
      <c r="I327" s="3" t="s">
        <v>522</v>
      </c>
    </row>
    <row r="328" customFormat="false" ht="15" hidden="false" customHeight="false" outlineLevel="0" collapsed="false">
      <c r="A328" s="3" t="s">
        <v>1863</v>
      </c>
      <c r="B328" s="3" t="s">
        <v>1862</v>
      </c>
      <c r="C328" s="3" t="s">
        <v>1455</v>
      </c>
      <c r="D328" s="3" t="s">
        <v>1281</v>
      </c>
      <c r="E328" s="3" t="s">
        <v>360</v>
      </c>
      <c r="F328" s="3" t="s">
        <v>1330</v>
      </c>
      <c r="G328" s="3" t="s">
        <v>405</v>
      </c>
      <c r="H328" s="3" t="s">
        <v>1048</v>
      </c>
      <c r="I328" s="3" t="s">
        <v>552</v>
      </c>
    </row>
    <row r="329" customFormat="false" ht="15" hidden="false" customHeight="false" outlineLevel="0" collapsed="false">
      <c r="A329" s="3" t="s">
        <v>1864</v>
      </c>
      <c r="B329" s="3" t="s">
        <v>1862</v>
      </c>
      <c r="C329" s="3" t="s">
        <v>1455</v>
      </c>
      <c r="D329" s="3" t="s">
        <v>1281</v>
      </c>
      <c r="E329" s="3" t="s">
        <v>360</v>
      </c>
      <c r="F329" s="3" t="s">
        <v>1330</v>
      </c>
      <c r="G329" s="3" t="s">
        <v>405</v>
      </c>
      <c r="H329" s="3" t="s">
        <v>1046</v>
      </c>
      <c r="I329" s="3" t="s">
        <v>531</v>
      </c>
    </row>
    <row r="330" customFormat="false" ht="15" hidden="false" customHeight="false" outlineLevel="0" collapsed="false">
      <c r="A330" s="3" t="s">
        <v>1865</v>
      </c>
      <c r="B330" s="3" t="s">
        <v>1866</v>
      </c>
      <c r="C330" s="3" t="s">
        <v>1455</v>
      </c>
      <c r="D330" s="3" t="s">
        <v>1286</v>
      </c>
      <c r="E330" s="3" t="s">
        <v>360</v>
      </c>
      <c r="F330" s="3" t="s">
        <v>1335</v>
      </c>
      <c r="G330" s="3" t="s">
        <v>405</v>
      </c>
      <c r="H330" s="3" t="s">
        <v>1047</v>
      </c>
      <c r="I330" s="3" t="s">
        <v>543</v>
      </c>
    </row>
    <row r="331" customFormat="false" ht="15" hidden="false" customHeight="false" outlineLevel="0" collapsed="false">
      <c r="A331" s="3" t="s">
        <v>1867</v>
      </c>
      <c r="B331" s="3" t="s">
        <v>1868</v>
      </c>
      <c r="C331" s="3" t="s">
        <v>1488</v>
      </c>
      <c r="D331" s="3" t="s">
        <v>1281</v>
      </c>
      <c r="E331" s="3" t="s">
        <v>360</v>
      </c>
      <c r="F331" s="3" t="s">
        <v>1330</v>
      </c>
      <c r="G331" s="3" t="s">
        <v>405</v>
      </c>
      <c r="H331" s="3" t="s">
        <v>1047</v>
      </c>
      <c r="I331" s="3" t="s">
        <v>543</v>
      </c>
    </row>
    <row r="332" customFormat="false" ht="15" hidden="false" customHeight="false" outlineLevel="0" collapsed="false">
      <c r="A332" s="3" t="s">
        <v>1869</v>
      </c>
      <c r="B332" s="3" t="s">
        <v>1868</v>
      </c>
      <c r="C332" s="3" t="s">
        <v>1488</v>
      </c>
      <c r="D332" s="3" t="s">
        <v>1281</v>
      </c>
      <c r="E332" s="3" t="s">
        <v>360</v>
      </c>
      <c r="F332" s="3" t="s">
        <v>1330</v>
      </c>
      <c r="G332" s="3" t="s">
        <v>405</v>
      </c>
      <c r="H332" s="3" t="s">
        <v>1045</v>
      </c>
      <c r="I332" s="3" t="s">
        <v>524</v>
      </c>
    </row>
    <row r="333" customFormat="false" ht="15" hidden="false" customHeight="false" outlineLevel="0" collapsed="false">
      <c r="A333" s="3" t="s">
        <v>1870</v>
      </c>
      <c r="B333" s="3" t="s">
        <v>1868</v>
      </c>
      <c r="C333" s="3" t="s">
        <v>1488</v>
      </c>
      <c r="D333" s="3" t="s">
        <v>1281</v>
      </c>
      <c r="E333" s="3" t="s">
        <v>360</v>
      </c>
      <c r="F333" s="3" t="s">
        <v>1330</v>
      </c>
      <c r="G333" s="3" t="s">
        <v>405</v>
      </c>
      <c r="H333" s="3" t="s">
        <v>1050</v>
      </c>
      <c r="I333" s="3" t="s">
        <v>522</v>
      </c>
    </row>
    <row r="334" customFormat="false" ht="15" hidden="false" customHeight="false" outlineLevel="0" collapsed="false">
      <c r="A334" s="3" t="s">
        <v>1871</v>
      </c>
      <c r="B334" s="3" t="s">
        <v>1872</v>
      </c>
      <c r="C334" s="3" t="s">
        <v>1302</v>
      </c>
      <c r="D334" s="3" t="s">
        <v>1286</v>
      </c>
      <c r="E334" s="3" t="s">
        <v>360</v>
      </c>
      <c r="F334" s="3" t="s">
        <v>1282</v>
      </c>
      <c r="G334" s="3" t="s">
        <v>408</v>
      </c>
      <c r="H334" s="3" t="s">
        <v>1051</v>
      </c>
      <c r="I334" s="3" t="s">
        <v>522</v>
      </c>
    </row>
    <row r="335" customFormat="false" ht="15" hidden="false" customHeight="false" outlineLevel="0" collapsed="false">
      <c r="A335" s="3" t="s">
        <v>1873</v>
      </c>
      <c r="B335" s="3" t="s">
        <v>1874</v>
      </c>
      <c r="C335" s="3" t="s">
        <v>1302</v>
      </c>
      <c r="D335" s="3" t="s">
        <v>1286</v>
      </c>
      <c r="E335" s="3" t="s">
        <v>360</v>
      </c>
      <c r="F335" s="3" t="s">
        <v>1306</v>
      </c>
      <c r="G335" s="3" t="s">
        <v>408</v>
      </c>
      <c r="H335" s="3" t="s">
        <v>1051</v>
      </c>
      <c r="I335" s="3" t="s">
        <v>522</v>
      </c>
    </row>
    <row r="336" customFormat="false" ht="15" hidden="false" customHeight="false" outlineLevel="0" collapsed="false">
      <c r="A336" s="3" t="s">
        <v>1875</v>
      </c>
      <c r="B336" s="3" t="s">
        <v>1876</v>
      </c>
      <c r="C336" s="3" t="s">
        <v>1355</v>
      </c>
      <c r="D336" s="3" t="s">
        <v>1286</v>
      </c>
      <c r="E336" s="3" t="s">
        <v>360</v>
      </c>
      <c r="F336" s="3" t="s">
        <v>1306</v>
      </c>
      <c r="G336" s="3" t="s">
        <v>410</v>
      </c>
      <c r="H336" s="3" t="s">
        <v>1053</v>
      </c>
      <c r="I336" s="3" t="s">
        <v>552</v>
      </c>
    </row>
    <row r="337" customFormat="false" ht="15" hidden="false" customHeight="false" outlineLevel="0" collapsed="false">
      <c r="A337" s="3" t="s">
        <v>1877</v>
      </c>
      <c r="B337" s="3" t="s">
        <v>1878</v>
      </c>
      <c r="C337" s="3" t="s">
        <v>1323</v>
      </c>
      <c r="D337" s="3" t="s">
        <v>1286</v>
      </c>
      <c r="E337" s="3" t="s">
        <v>360</v>
      </c>
      <c r="F337" s="3" t="s">
        <v>1282</v>
      </c>
      <c r="G337" s="3" t="s">
        <v>410</v>
      </c>
      <c r="H337" s="3" t="s">
        <v>1053</v>
      </c>
      <c r="I337" s="3" t="s">
        <v>552</v>
      </c>
    </row>
    <row r="338" customFormat="false" ht="15" hidden="false" customHeight="false" outlineLevel="0" collapsed="false">
      <c r="A338" s="3" t="s">
        <v>1879</v>
      </c>
      <c r="B338" s="3" t="s">
        <v>1880</v>
      </c>
      <c r="C338" s="3" t="s">
        <v>1319</v>
      </c>
      <c r="D338" s="3" t="s">
        <v>1286</v>
      </c>
      <c r="E338" s="3" t="s">
        <v>360</v>
      </c>
      <c r="F338" s="3" t="s">
        <v>1282</v>
      </c>
      <c r="G338" s="3" t="s">
        <v>410</v>
      </c>
      <c r="H338" s="3" t="s">
        <v>1053</v>
      </c>
      <c r="I338" s="3" t="s">
        <v>552</v>
      </c>
    </row>
    <row r="339" customFormat="false" ht="15" hidden="false" customHeight="false" outlineLevel="0" collapsed="false">
      <c r="A339" s="3" t="s">
        <v>1881</v>
      </c>
      <c r="B339" s="3" t="s">
        <v>1882</v>
      </c>
      <c r="C339" s="3" t="s">
        <v>1364</v>
      </c>
      <c r="D339" s="3" t="s">
        <v>1286</v>
      </c>
      <c r="E339" s="3" t="s">
        <v>360</v>
      </c>
      <c r="F339" s="3" t="s">
        <v>1282</v>
      </c>
      <c r="G339" s="3" t="s">
        <v>412</v>
      </c>
      <c r="H339" s="3" t="s">
        <v>1054</v>
      </c>
      <c r="I339" s="3" t="s">
        <v>548</v>
      </c>
    </row>
    <row r="340" customFormat="false" ht="15" hidden="false" customHeight="false" outlineLevel="0" collapsed="false">
      <c r="A340" s="3" t="s">
        <v>1883</v>
      </c>
      <c r="B340" s="3" t="s">
        <v>1884</v>
      </c>
      <c r="C340" s="3" t="s">
        <v>1314</v>
      </c>
      <c r="D340" s="3" t="s">
        <v>1281</v>
      </c>
      <c r="E340" s="3" t="s">
        <v>360</v>
      </c>
      <c r="F340" s="3" t="s">
        <v>1287</v>
      </c>
      <c r="G340" s="3" t="s">
        <v>413</v>
      </c>
      <c r="H340" s="3" t="s">
        <v>1056</v>
      </c>
      <c r="I340" s="3" t="s">
        <v>524</v>
      </c>
    </row>
    <row r="341" customFormat="false" ht="15" hidden="false" customHeight="false" outlineLevel="0" collapsed="false">
      <c r="A341" s="3" t="s">
        <v>1885</v>
      </c>
      <c r="B341" s="3" t="s">
        <v>1886</v>
      </c>
      <c r="C341" s="3" t="s">
        <v>1435</v>
      </c>
      <c r="D341" s="3" t="s">
        <v>1281</v>
      </c>
      <c r="E341" s="3" t="s">
        <v>360</v>
      </c>
      <c r="F341" s="3" t="s">
        <v>1287</v>
      </c>
      <c r="G341" s="3" t="s">
        <v>414</v>
      </c>
      <c r="H341" s="3" t="s">
        <v>1061</v>
      </c>
      <c r="I341" s="3" t="s">
        <v>524</v>
      </c>
    </row>
    <row r="342" customFormat="false" ht="15" hidden="false" customHeight="false" outlineLevel="0" collapsed="false">
      <c r="A342" s="3" t="s">
        <v>1887</v>
      </c>
      <c r="B342" s="3" t="s">
        <v>1886</v>
      </c>
      <c r="C342" s="3" t="s">
        <v>1435</v>
      </c>
      <c r="D342" s="3" t="s">
        <v>1281</v>
      </c>
      <c r="E342" s="3" t="s">
        <v>360</v>
      </c>
      <c r="F342" s="3" t="s">
        <v>1287</v>
      </c>
      <c r="G342" s="3" t="s">
        <v>414</v>
      </c>
      <c r="H342" s="3" t="s">
        <v>1060</v>
      </c>
      <c r="I342" s="3" t="s">
        <v>529</v>
      </c>
    </row>
    <row r="343" customFormat="false" ht="15" hidden="false" customHeight="false" outlineLevel="0" collapsed="false">
      <c r="A343" s="3" t="s">
        <v>1888</v>
      </c>
      <c r="B343" s="3" t="s">
        <v>1889</v>
      </c>
      <c r="C343" s="3" t="s">
        <v>1431</v>
      </c>
      <c r="D343" s="3" t="s">
        <v>1286</v>
      </c>
      <c r="E343" s="3" t="s">
        <v>360</v>
      </c>
      <c r="F343" s="3" t="s">
        <v>1335</v>
      </c>
      <c r="G343" s="3" t="s">
        <v>414</v>
      </c>
      <c r="H343" s="3" t="s">
        <v>1060</v>
      </c>
      <c r="I343" s="3" t="s">
        <v>529</v>
      </c>
    </row>
    <row r="344" customFormat="false" ht="15" hidden="false" customHeight="false" outlineLevel="0" collapsed="false">
      <c r="A344" s="3" t="s">
        <v>1890</v>
      </c>
      <c r="B344" s="3" t="s">
        <v>1889</v>
      </c>
      <c r="C344" s="3" t="s">
        <v>1431</v>
      </c>
      <c r="D344" s="3" t="s">
        <v>1286</v>
      </c>
      <c r="E344" s="3" t="s">
        <v>360</v>
      </c>
      <c r="F344" s="3" t="s">
        <v>1335</v>
      </c>
      <c r="G344" s="3" t="s">
        <v>414</v>
      </c>
      <c r="H344" s="3" t="s">
        <v>1062</v>
      </c>
      <c r="I344" s="3" t="s">
        <v>552</v>
      </c>
    </row>
    <row r="345" customFormat="false" ht="15" hidden="false" customHeight="false" outlineLevel="0" collapsed="false">
      <c r="A345" s="3" t="s">
        <v>1891</v>
      </c>
      <c r="B345" s="3" t="s">
        <v>1892</v>
      </c>
      <c r="C345" s="3" t="s">
        <v>1435</v>
      </c>
      <c r="D345" s="3" t="s">
        <v>1286</v>
      </c>
      <c r="E345" s="3" t="s">
        <v>360</v>
      </c>
      <c r="F345" s="3" t="s">
        <v>1282</v>
      </c>
      <c r="G345" s="3" t="s">
        <v>415</v>
      </c>
      <c r="H345" s="3" t="s">
        <v>1063</v>
      </c>
      <c r="I345" s="3" t="s">
        <v>531</v>
      </c>
    </row>
    <row r="346" customFormat="false" ht="15" hidden="false" customHeight="false" outlineLevel="0" collapsed="false">
      <c r="A346" s="3" t="s">
        <v>1893</v>
      </c>
      <c r="B346" s="3" t="s">
        <v>1894</v>
      </c>
      <c r="C346" s="3" t="s">
        <v>1310</v>
      </c>
      <c r="D346" s="3" t="s">
        <v>1286</v>
      </c>
      <c r="E346" s="3" t="s">
        <v>360</v>
      </c>
      <c r="F346" s="3" t="s">
        <v>1330</v>
      </c>
      <c r="G346" s="3" t="s">
        <v>416</v>
      </c>
      <c r="H346" s="3" t="s">
        <v>1065</v>
      </c>
      <c r="I346" s="3" t="s">
        <v>526</v>
      </c>
    </row>
    <row r="347" customFormat="false" ht="15" hidden="false" customHeight="false" outlineLevel="0" collapsed="false">
      <c r="A347" s="3" t="s">
        <v>1895</v>
      </c>
      <c r="B347" s="3" t="s">
        <v>1894</v>
      </c>
      <c r="C347" s="3" t="s">
        <v>1310</v>
      </c>
      <c r="D347" s="3" t="s">
        <v>1286</v>
      </c>
      <c r="E347" s="3" t="s">
        <v>360</v>
      </c>
      <c r="F347" s="3" t="s">
        <v>1330</v>
      </c>
      <c r="G347" s="3" t="s">
        <v>416</v>
      </c>
      <c r="H347" s="3" t="s">
        <v>1067</v>
      </c>
      <c r="I347" s="3" t="s">
        <v>552</v>
      </c>
    </row>
    <row r="348" customFormat="false" ht="15" hidden="false" customHeight="false" outlineLevel="0" collapsed="false">
      <c r="A348" s="3" t="s">
        <v>1896</v>
      </c>
      <c r="B348" s="3" t="s">
        <v>1894</v>
      </c>
      <c r="C348" s="3" t="s">
        <v>1310</v>
      </c>
      <c r="D348" s="3" t="s">
        <v>1286</v>
      </c>
      <c r="E348" s="3" t="s">
        <v>360</v>
      </c>
      <c r="F348" s="3" t="s">
        <v>1330</v>
      </c>
      <c r="G348" s="3" t="s">
        <v>416</v>
      </c>
      <c r="H348" s="3" t="s">
        <v>1070</v>
      </c>
      <c r="I348" s="3" t="s">
        <v>510</v>
      </c>
    </row>
    <row r="349" customFormat="false" ht="15" hidden="false" customHeight="false" outlineLevel="0" collapsed="false">
      <c r="A349" s="3" t="s">
        <v>1897</v>
      </c>
      <c r="B349" s="3" t="s">
        <v>1898</v>
      </c>
      <c r="C349" s="3" t="s">
        <v>1302</v>
      </c>
      <c r="D349" s="3" t="s">
        <v>1281</v>
      </c>
      <c r="E349" s="3" t="s">
        <v>360</v>
      </c>
      <c r="F349" s="3" t="s">
        <v>1287</v>
      </c>
      <c r="G349" s="3" t="s">
        <v>416</v>
      </c>
      <c r="H349" s="3" t="s">
        <v>1067</v>
      </c>
      <c r="I349" s="3" t="s">
        <v>552</v>
      </c>
    </row>
    <row r="350" customFormat="false" ht="15" hidden="false" customHeight="false" outlineLevel="0" collapsed="false">
      <c r="A350" s="3" t="s">
        <v>1899</v>
      </c>
      <c r="B350" s="3" t="s">
        <v>1898</v>
      </c>
      <c r="C350" s="3" t="s">
        <v>1302</v>
      </c>
      <c r="D350" s="3" t="s">
        <v>1281</v>
      </c>
      <c r="E350" s="3" t="s">
        <v>360</v>
      </c>
      <c r="F350" s="3" t="s">
        <v>1287</v>
      </c>
      <c r="G350" s="3" t="s">
        <v>416</v>
      </c>
      <c r="H350" s="3" t="s">
        <v>1068</v>
      </c>
      <c r="I350" s="3" t="s">
        <v>543</v>
      </c>
    </row>
    <row r="351" customFormat="false" ht="15" hidden="false" customHeight="false" outlineLevel="0" collapsed="false">
      <c r="A351" s="3" t="s">
        <v>1900</v>
      </c>
      <c r="B351" s="3" t="s">
        <v>1898</v>
      </c>
      <c r="C351" s="3" t="s">
        <v>1302</v>
      </c>
      <c r="D351" s="3" t="s">
        <v>1281</v>
      </c>
      <c r="E351" s="3" t="s">
        <v>360</v>
      </c>
      <c r="F351" s="3" t="s">
        <v>1287</v>
      </c>
      <c r="G351" s="3" t="s">
        <v>416</v>
      </c>
      <c r="H351" s="3" t="s">
        <v>1070</v>
      </c>
      <c r="I351" s="3" t="s">
        <v>510</v>
      </c>
    </row>
    <row r="352" customFormat="false" ht="15" hidden="false" customHeight="false" outlineLevel="0" collapsed="false">
      <c r="A352" s="3" t="s">
        <v>1901</v>
      </c>
      <c r="B352" s="3" t="s">
        <v>1902</v>
      </c>
      <c r="C352" s="3" t="s">
        <v>1280</v>
      </c>
      <c r="D352" s="3" t="s">
        <v>1286</v>
      </c>
      <c r="E352" s="3" t="s">
        <v>360</v>
      </c>
      <c r="F352" s="3" t="s">
        <v>1306</v>
      </c>
      <c r="G352" s="3" t="s">
        <v>418</v>
      </c>
      <c r="H352" s="3" t="s">
        <v>1074</v>
      </c>
      <c r="I352" s="3" t="s">
        <v>524</v>
      </c>
    </row>
    <row r="353" customFormat="false" ht="15" hidden="false" customHeight="false" outlineLevel="0" collapsed="false">
      <c r="A353" s="3" t="s">
        <v>1903</v>
      </c>
      <c r="B353" s="3" t="s">
        <v>1904</v>
      </c>
      <c r="C353" s="3" t="s">
        <v>1280</v>
      </c>
      <c r="D353" s="3" t="s">
        <v>1281</v>
      </c>
      <c r="E353" s="3" t="s">
        <v>360</v>
      </c>
      <c r="F353" s="3" t="s">
        <v>1335</v>
      </c>
      <c r="G353" s="3" t="s">
        <v>418</v>
      </c>
      <c r="H353" s="3" t="s">
        <v>1074</v>
      </c>
      <c r="I353" s="3" t="s">
        <v>524</v>
      </c>
    </row>
    <row r="354" customFormat="false" ht="15" hidden="false" customHeight="false" outlineLevel="0" collapsed="false">
      <c r="A354" s="3" t="s">
        <v>1905</v>
      </c>
      <c r="B354" s="3" t="s">
        <v>1904</v>
      </c>
      <c r="C354" s="3" t="s">
        <v>1280</v>
      </c>
      <c r="D354" s="3" t="s">
        <v>1281</v>
      </c>
      <c r="E354" s="3" t="s">
        <v>360</v>
      </c>
      <c r="F354" s="3" t="s">
        <v>1335</v>
      </c>
      <c r="G354" s="3" t="s">
        <v>418</v>
      </c>
      <c r="H354" s="3" t="s">
        <v>1073</v>
      </c>
      <c r="I354" s="3" t="s">
        <v>529</v>
      </c>
    </row>
    <row r="355" customFormat="false" ht="15" hidden="false" customHeight="false" outlineLevel="0" collapsed="false">
      <c r="A355" s="3" t="s">
        <v>1906</v>
      </c>
      <c r="B355" s="3" t="s">
        <v>1907</v>
      </c>
      <c r="C355" s="3" t="s">
        <v>1364</v>
      </c>
      <c r="D355" s="3" t="s">
        <v>1286</v>
      </c>
      <c r="E355" s="3" t="s">
        <v>360</v>
      </c>
      <c r="F355" s="3" t="s">
        <v>1287</v>
      </c>
      <c r="G355" s="3" t="s">
        <v>420</v>
      </c>
      <c r="H355" s="3" t="s">
        <v>1080</v>
      </c>
      <c r="I355" s="3" t="s">
        <v>522</v>
      </c>
    </row>
    <row r="356" customFormat="false" ht="15" hidden="false" customHeight="false" outlineLevel="0" collapsed="false">
      <c r="A356" s="3" t="s">
        <v>1908</v>
      </c>
      <c r="B356" s="3" t="s">
        <v>1907</v>
      </c>
      <c r="C356" s="3" t="s">
        <v>1364</v>
      </c>
      <c r="D356" s="3" t="s">
        <v>1286</v>
      </c>
      <c r="E356" s="3" t="s">
        <v>360</v>
      </c>
      <c r="F356" s="3" t="s">
        <v>1287</v>
      </c>
      <c r="G356" s="3" t="s">
        <v>420</v>
      </c>
      <c r="H356" s="3" t="s">
        <v>1077</v>
      </c>
      <c r="I356" s="3" t="s">
        <v>529</v>
      </c>
    </row>
    <row r="357" customFormat="false" ht="15" hidden="false" customHeight="false" outlineLevel="0" collapsed="false">
      <c r="A357" s="3" t="s">
        <v>1909</v>
      </c>
      <c r="B357" s="3" t="s">
        <v>1907</v>
      </c>
      <c r="C357" s="3" t="s">
        <v>1364</v>
      </c>
      <c r="D357" s="3" t="s">
        <v>1286</v>
      </c>
      <c r="E357" s="3" t="s">
        <v>360</v>
      </c>
      <c r="F357" s="3" t="s">
        <v>1287</v>
      </c>
      <c r="G357" s="3" t="s">
        <v>420</v>
      </c>
      <c r="H357" s="3" t="s">
        <v>1081</v>
      </c>
      <c r="I357" s="3" t="s">
        <v>518</v>
      </c>
    </row>
    <row r="358" customFormat="false" ht="15" hidden="false" customHeight="false" outlineLevel="0" collapsed="false">
      <c r="A358" s="3" t="s">
        <v>1910</v>
      </c>
      <c r="B358" s="3" t="s">
        <v>1911</v>
      </c>
      <c r="C358" s="3" t="s">
        <v>1364</v>
      </c>
      <c r="D358" s="3" t="s">
        <v>1281</v>
      </c>
      <c r="E358" s="3" t="s">
        <v>360</v>
      </c>
      <c r="F358" s="3" t="s">
        <v>1306</v>
      </c>
      <c r="G358" s="3" t="s">
        <v>420</v>
      </c>
      <c r="H358" s="3" t="s">
        <v>1081</v>
      </c>
      <c r="I358" s="3" t="s">
        <v>518</v>
      </c>
    </row>
    <row r="359" customFormat="false" ht="15" hidden="false" customHeight="false" outlineLevel="0" collapsed="false">
      <c r="A359" s="3" t="s">
        <v>1912</v>
      </c>
      <c r="B359" s="3" t="s">
        <v>1911</v>
      </c>
      <c r="C359" s="3" t="s">
        <v>1364</v>
      </c>
      <c r="D359" s="3" t="s">
        <v>1281</v>
      </c>
      <c r="E359" s="3" t="s">
        <v>360</v>
      </c>
      <c r="F359" s="3" t="s">
        <v>1306</v>
      </c>
      <c r="G359" s="3" t="s">
        <v>420</v>
      </c>
      <c r="H359" s="3" t="s">
        <v>1077</v>
      </c>
      <c r="I359" s="3" t="s">
        <v>529</v>
      </c>
    </row>
    <row r="360" customFormat="false" ht="15" hidden="false" customHeight="false" outlineLevel="0" collapsed="false">
      <c r="A360" s="3" t="s">
        <v>1913</v>
      </c>
      <c r="B360" s="3" t="s">
        <v>1911</v>
      </c>
      <c r="C360" s="3" t="s">
        <v>1364</v>
      </c>
      <c r="D360" s="3" t="s">
        <v>1281</v>
      </c>
      <c r="E360" s="3" t="s">
        <v>360</v>
      </c>
      <c r="F360" s="3" t="s">
        <v>1306</v>
      </c>
      <c r="G360" s="3" t="s">
        <v>420</v>
      </c>
      <c r="H360" s="3" t="s">
        <v>1078</v>
      </c>
      <c r="I360" s="3" t="s">
        <v>510</v>
      </c>
    </row>
    <row r="361" customFormat="false" ht="15" hidden="false" customHeight="false" outlineLevel="0" collapsed="false">
      <c r="A361" s="3" t="s">
        <v>1914</v>
      </c>
      <c r="B361" s="3" t="s">
        <v>1915</v>
      </c>
      <c r="C361" s="3" t="s">
        <v>1319</v>
      </c>
      <c r="D361" s="3" t="s">
        <v>1286</v>
      </c>
      <c r="E361" s="3" t="s">
        <v>360</v>
      </c>
      <c r="F361" s="3" t="s">
        <v>1282</v>
      </c>
      <c r="G361" s="3" t="s">
        <v>425</v>
      </c>
      <c r="H361" s="3" t="s">
        <v>1095</v>
      </c>
      <c r="I361" s="3" t="s">
        <v>529</v>
      </c>
    </row>
    <row r="362" customFormat="false" ht="15" hidden="false" customHeight="false" outlineLevel="0" collapsed="false">
      <c r="A362" s="3" t="s">
        <v>1916</v>
      </c>
      <c r="B362" s="3" t="s">
        <v>1915</v>
      </c>
      <c r="C362" s="3" t="s">
        <v>1319</v>
      </c>
      <c r="D362" s="3" t="s">
        <v>1286</v>
      </c>
      <c r="E362" s="3" t="s">
        <v>360</v>
      </c>
      <c r="F362" s="3" t="s">
        <v>1282</v>
      </c>
      <c r="G362" s="3" t="s">
        <v>425</v>
      </c>
      <c r="H362" s="3" t="s">
        <v>1094</v>
      </c>
      <c r="I362" s="3" t="s">
        <v>522</v>
      </c>
    </row>
    <row r="363" customFormat="false" ht="15" hidden="false" customHeight="false" outlineLevel="0" collapsed="false">
      <c r="A363" s="3" t="s">
        <v>1917</v>
      </c>
      <c r="B363" s="3" t="s">
        <v>1918</v>
      </c>
      <c r="C363" s="3" t="s">
        <v>1319</v>
      </c>
      <c r="D363" s="3" t="s">
        <v>1281</v>
      </c>
      <c r="E363" s="3" t="s">
        <v>360</v>
      </c>
      <c r="F363" s="3" t="s">
        <v>1306</v>
      </c>
      <c r="G363" s="3" t="s">
        <v>425</v>
      </c>
      <c r="H363" s="3" t="s">
        <v>1095</v>
      </c>
      <c r="I363" s="3" t="s">
        <v>529</v>
      </c>
    </row>
    <row r="364" customFormat="false" ht="15" hidden="false" customHeight="false" outlineLevel="0" collapsed="false">
      <c r="A364" s="3" t="s">
        <v>1919</v>
      </c>
      <c r="B364" s="3" t="s">
        <v>1918</v>
      </c>
      <c r="C364" s="3" t="s">
        <v>1319</v>
      </c>
      <c r="D364" s="3" t="s">
        <v>1281</v>
      </c>
      <c r="E364" s="3" t="s">
        <v>360</v>
      </c>
      <c r="F364" s="3" t="s">
        <v>1306</v>
      </c>
      <c r="G364" s="3" t="s">
        <v>425</v>
      </c>
      <c r="H364" s="3" t="s">
        <v>1094</v>
      </c>
      <c r="I364" s="3" t="s">
        <v>522</v>
      </c>
    </row>
    <row r="365" customFormat="false" ht="15" hidden="false" customHeight="false" outlineLevel="0" collapsed="false">
      <c r="A365" s="3" t="s">
        <v>1920</v>
      </c>
      <c r="B365" s="3" t="s">
        <v>1921</v>
      </c>
      <c r="C365" s="3" t="s">
        <v>1405</v>
      </c>
      <c r="D365" s="3" t="s">
        <v>1281</v>
      </c>
      <c r="E365" s="3" t="s">
        <v>360</v>
      </c>
      <c r="F365" s="3" t="s">
        <v>1335</v>
      </c>
      <c r="G365" s="3" t="s">
        <v>427</v>
      </c>
      <c r="H365" s="3" t="s">
        <v>1097</v>
      </c>
      <c r="I365" s="3" t="s">
        <v>531</v>
      </c>
    </row>
    <row r="366" customFormat="false" ht="15" hidden="false" customHeight="false" outlineLevel="0" collapsed="false">
      <c r="A366" s="3" t="s">
        <v>1922</v>
      </c>
      <c r="B366" s="3" t="s">
        <v>1921</v>
      </c>
      <c r="C366" s="3" t="s">
        <v>1405</v>
      </c>
      <c r="D366" s="3" t="s">
        <v>1281</v>
      </c>
      <c r="E366" s="3" t="s">
        <v>360</v>
      </c>
      <c r="F366" s="3" t="s">
        <v>1335</v>
      </c>
      <c r="G366" s="3" t="s">
        <v>427</v>
      </c>
      <c r="H366" s="3" t="s">
        <v>1099</v>
      </c>
      <c r="I366" s="3" t="s">
        <v>543</v>
      </c>
    </row>
    <row r="367" customFormat="false" ht="15" hidden="false" customHeight="false" outlineLevel="0" collapsed="false">
      <c r="A367" s="3" t="s">
        <v>1923</v>
      </c>
      <c r="B367" s="3" t="s">
        <v>1921</v>
      </c>
      <c r="C367" s="3" t="s">
        <v>1405</v>
      </c>
      <c r="D367" s="3" t="s">
        <v>1281</v>
      </c>
      <c r="E367" s="3" t="s">
        <v>360</v>
      </c>
      <c r="F367" s="3" t="s">
        <v>1335</v>
      </c>
      <c r="G367" s="3" t="s">
        <v>427</v>
      </c>
      <c r="H367" s="3" t="s">
        <v>1098</v>
      </c>
      <c r="I367" s="3" t="s">
        <v>535</v>
      </c>
    </row>
    <row r="368" customFormat="false" ht="15" hidden="false" customHeight="false" outlineLevel="0" collapsed="false">
      <c r="A368" s="3" t="s">
        <v>1924</v>
      </c>
      <c r="B368" s="3" t="s">
        <v>1925</v>
      </c>
      <c r="C368" s="3" t="s">
        <v>1408</v>
      </c>
      <c r="D368" s="3" t="s">
        <v>1286</v>
      </c>
      <c r="E368" s="3" t="s">
        <v>360</v>
      </c>
      <c r="F368" s="3" t="s">
        <v>1282</v>
      </c>
      <c r="G368" s="3" t="s">
        <v>427</v>
      </c>
      <c r="H368" s="3" t="s">
        <v>1099</v>
      </c>
      <c r="I368" s="3" t="s">
        <v>543</v>
      </c>
    </row>
    <row r="369" customFormat="false" ht="15" hidden="false" customHeight="false" outlineLevel="0" collapsed="false">
      <c r="A369" s="3" t="s">
        <v>1926</v>
      </c>
      <c r="B369" s="3" t="s">
        <v>1927</v>
      </c>
      <c r="C369" s="3" t="s">
        <v>1405</v>
      </c>
      <c r="D369" s="3" t="s">
        <v>1286</v>
      </c>
      <c r="E369" s="3" t="s">
        <v>360</v>
      </c>
      <c r="F369" s="3" t="s">
        <v>1306</v>
      </c>
      <c r="G369" s="3" t="s">
        <v>427</v>
      </c>
      <c r="H369" s="3" t="s">
        <v>1099</v>
      </c>
      <c r="I369" s="3" t="s">
        <v>543</v>
      </c>
    </row>
    <row r="370" customFormat="false" ht="15" hidden="false" customHeight="false" outlineLevel="0" collapsed="false">
      <c r="A370" s="3" t="s">
        <v>1928</v>
      </c>
      <c r="B370" s="3" t="s">
        <v>1929</v>
      </c>
      <c r="C370" s="3" t="s">
        <v>1314</v>
      </c>
      <c r="D370" s="3" t="s">
        <v>1286</v>
      </c>
      <c r="E370" s="3" t="s">
        <v>360</v>
      </c>
      <c r="F370" s="3" t="s">
        <v>1330</v>
      </c>
      <c r="G370" s="3" t="s">
        <v>429</v>
      </c>
      <c r="H370" s="3" t="s">
        <v>1101</v>
      </c>
      <c r="I370" s="3" t="s">
        <v>543</v>
      </c>
    </row>
    <row r="371" customFormat="false" ht="15" hidden="false" customHeight="false" outlineLevel="0" collapsed="false">
      <c r="A371" s="3" t="s">
        <v>1930</v>
      </c>
      <c r="B371" s="3" t="s">
        <v>1929</v>
      </c>
      <c r="C371" s="3" t="s">
        <v>1314</v>
      </c>
      <c r="D371" s="3" t="s">
        <v>1286</v>
      </c>
      <c r="E371" s="3" t="s">
        <v>360</v>
      </c>
      <c r="F371" s="3" t="s">
        <v>1330</v>
      </c>
      <c r="G371" s="3" t="s">
        <v>429</v>
      </c>
      <c r="H371" s="3" t="s">
        <v>1102</v>
      </c>
      <c r="I371" s="3" t="s">
        <v>538</v>
      </c>
    </row>
    <row r="372" customFormat="false" ht="15" hidden="false" customHeight="false" outlineLevel="0" collapsed="false">
      <c r="A372" s="3" t="s">
        <v>1931</v>
      </c>
      <c r="B372" s="3" t="s">
        <v>1932</v>
      </c>
      <c r="C372" s="3" t="s">
        <v>1314</v>
      </c>
      <c r="D372" s="3" t="s">
        <v>1286</v>
      </c>
      <c r="E372" s="3" t="s">
        <v>360</v>
      </c>
      <c r="F372" s="3" t="s">
        <v>1282</v>
      </c>
      <c r="G372" s="3" t="s">
        <v>429</v>
      </c>
      <c r="H372" s="3" t="s">
        <v>1102</v>
      </c>
      <c r="I372" s="3" t="s">
        <v>538</v>
      </c>
    </row>
    <row r="373" customFormat="false" ht="15" hidden="false" customHeight="false" outlineLevel="0" collapsed="false">
      <c r="A373" s="3" t="s">
        <v>1933</v>
      </c>
      <c r="B373" s="3" t="s">
        <v>1932</v>
      </c>
      <c r="C373" s="3" t="s">
        <v>1314</v>
      </c>
      <c r="D373" s="3" t="s">
        <v>1286</v>
      </c>
      <c r="E373" s="3" t="s">
        <v>360</v>
      </c>
      <c r="F373" s="3" t="s">
        <v>1282</v>
      </c>
      <c r="G373" s="3" t="s">
        <v>429</v>
      </c>
      <c r="H373" s="3" t="s">
        <v>1101</v>
      </c>
      <c r="I373" s="3" t="s">
        <v>543</v>
      </c>
    </row>
    <row r="374" customFormat="false" ht="15" hidden="false" customHeight="false" outlineLevel="0" collapsed="false">
      <c r="A374" s="3" t="s">
        <v>1934</v>
      </c>
      <c r="B374" s="3" t="s">
        <v>1935</v>
      </c>
      <c r="C374" s="3" t="s">
        <v>1386</v>
      </c>
      <c r="D374" s="3" t="s">
        <v>1281</v>
      </c>
      <c r="E374" s="3" t="s">
        <v>360</v>
      </c>
      <c r="F374" s="3" t="s">
        <v>1335</v>
      </c>
      <c r="G374" s="3" t="s">
        <v>430</v>
      </c>
      <c r="H374" s="3" t="s">
        <v>1104</v>
      </c>
      <c r="I374" s="3" t="s">
        <v>526</v>
      </c>
    </row>
    <row r="375" customFormat="false" ht="15" hidden="false" customHeight="false" outlineLevel="0" collapsed="false">
      <c r="A375" s="3" t="s">
        <v>1936</v>
      </c>
      <c r="B375" s="3" t="s">
        <v>1937</v>
      </c>
      <c r="C375" s="3" t="s">
        <v>1587</v>
      </c>
      <c r="D375" s="3" t="s">
        <v>1281</v>
      </c>
      <c r="E375" s="3" t="s">
        <v>360</v>
      </c>
      <c r="F375" s="3" t="s">
        <v>1306</v>
      </c>
      <c r="G375" s="3" t="s">
        <v>430</v>
      </c>
      <c r="H375" s="3" t="s">
        <v>1104</v>
      </c>
      <c r="I375" s="3" t="s">
        <v>526</v>
      </c>
    </row>
    <row r="376" customFormat="false" ht="15" hidden="false" customHeight="false" outlineLevel="0" collapsed="false">
      <c r="A376" s="3" t="s">
        <v>1938</v>
      </c>
      <c r="B376" s="3" t="s">
        <v>1939</v>
      </c>
      <c r="C376" s="3" t="s">
        <v>1305</v>
      </c>
      <c r="D376" s="3" t="s">
        <v>1286</v>
      </c>
      <c r="E376" s="3" t="s">
        <v>360</v>
      </c>
      <c r="F376" s="3" t="s">
        <v>1306</v>
      </c>
      <c r="G376" s="3" t="s">
        <v>433</v>
      </c>
      <c r="H376" s="3" t="s">
        <v>1116</v>
      </c>
      <c r="I376" s="3" t="s">
        <v>543</v>
      </c>
    </row>
    <row r="377" customFormat="false" ht="15" hidden="false" customHeight="false" outlineLevel="0" collapsed="false">
      <c r="A377" s="3" t="s">
        <v>1940</v>
      </c>
      <c r="B377" s="3" t="s">
        <v>1939</v>
      </c>
      <c r="C377" s="3" t="s">
        <v>1305</v>
      </c>
      <c r="D377" s="3" t="s">
        <v>1286</v>
      </c>
      <c r="E377" s="3" t="s">
        <v>360</v>
      </c>
      <c r="F377" s="3" t="s">
        <v>1306</v>
      </c>
      <c r="G377" s="3" t="s">
        <v>433</v>
      </c>
      <c r="H377" s="3" t="s">
        <v>1114</v>
      </c>
      <c r="I377" s="3" t="s">
        <v>518</v>
      </c>
    </row>
    <row r="378" customFormat="false" ht="15" hidden="false" customHeight="false" outlineLevel="0" collapsed="false">
      <c r="A378" s="3" t="s">
        <v>1941</v>
      </c>
      <c r="B378" s="3" t="s">
        <v>1942</v>
      </c>
      <c r="C378" s="3" t="s">
        <v>1314</v>
      </c>
      <c r="D378" s="3" t="s">
        <v>1286</v>
      </c>
      <c r="E378" s="3" t="s">
        <v>360</v>
      </c>
      <c r="F378" s="3" t="s">
        <v>1282</v>
      </c>
      <c r="G378" s="3" t="s">
        <v>435</v>
      </c>
      <c r="H378" s="3" t="s">
        <v>1119</v>
      </c>
      <c r="I378" s="3" t="s">
        <v>540</v>
      </c>
    </row>
    <row r="379" customFormat="false" ht="15" hidden="false" customHeight="false" outlineLevel="0" collapsed="false">
      <c r="A379" s="3" t="s">
        <v>1943</v>
      </c>
      <c r="B379" s="3" t="s">
        <v>1942</v>
      </c>
      <c r="C379" s="3" t="s">
        <v>1314</v>
      </c>
      <c r="D379" s="3" t="s">
        <v>1286</v>
      </c>
      <c r="E379" s="3" t="s">
        <v>360</v>
      </c>
      <c r="F379" s="3" t="s">
        <v>1282</v>
      </c>
      <c r="G379" s="3" t="s">
        <v>435</v>
      </c>
      <c r="H379" s="3" t="s">
        <v>1117</v>
      </c>
      <c r="I379" s="3" t="s">
        <v>535</v>
      </c>
    </row>
    <row r="380" customFormat="false" ht="15" hidden="false" customHeight="false" outlineLevel="0" collapsed="false">
      <c r="A380" s="3" t="s">
        <v>1944</v>
      </c>
      <c r="B380" s="3" t="s">
        <v>1942</v>
      </c>
      <c r="C380" s="3" t="s">
        <v>1314</v>
      </c>
      <c r="D380" s="3" t="s">
        <v>1286</v>
      </c>
      <c r="E380" s="3" t="s">
        <v>360</v>
      </c>
      <c r="F380" s="3" t="s">
        <v>1282</v>
      </c>
      <c r="G380" s="3" t="s">
        <v>435</v>
      </c>
      <c r="H380" s="3" t="s">
        <v>1118</v>
      </c>
      <c r="I380" s="3" t="s">
        <v>543</v>
      </c>
    </row>
    <row r="381" customFormat="false" ht="15" hidden="false" customHeight="false" outlineLevel="0" collapsed="false">
      <c r="A381" s="3" t="s">
        <v>1945</v>
      </c>
      <c r="B381" s="3" t="s">
        <v>1946</v>
      </c>
      <c r="C381" s="3" t="s">
        <v>1323</v>
      </c>
      <c r="D381" s="3" t="s">
        <v>1281</v>
      </c>
      <c r="E381" s="3" t="s">
        <v>360</v>
      </c>
      <c r="F381" s="3" t="s">
        <v>1287</v>
      </c>
      <c r="G381" s="3" t="s">
        <v>436</v>
      </c>
      <c r="H381" s="3" t="s">
        <v>1122</v>
      </c>
      <c r="I381" s="3" t="s">
        <v>524</v>
      </c>
    </row>
    <row r="382" customFormat="false" ht="15" hidden="false" customHeight="false" outlineLevel="0" collapsed="false">
      <c r="A382" s="3" t="s">
        <v>1947</v>
      </c>
      <c r="B382" s="3" t="s">
        <v>1948</v>
      </c>
      <c r="C382" s="3" t="s">
        <v>1319</v>
      </c>
      <c r="D382" s="3" t="s">
        <v>1281</v>
      </c>
      <c r="E382" s="3" t="s">
        <v>360</v>
      </c>
      <c r="F382" s="3" t="s">
        <v>1335</v>
      </c>
      <c r="G382" s="3" t="s">
        <v>436</v>
      </c>
      <c r="H382" s="3" t="s">
        <v>1122</v>
      </c>
      <c r="I382" s="3" t="s">
        <v>524</v>
      </c>
    </row>
    <row r="383" customFormat="false" ht="15" hidden="false" customHeight="false" outlineLevel="0" collapsed="false">
      <c r="A383" s="3" t="s">
        <v>1949</v>
      </c>
      <c r="B383" s="3" t="s">
        <v>1950</v>
      </c>
      <c r="C383" s="3" t="s">
        <v>1323</v>
      </c>
      <c r="D383" s="3" t="s">
        <v>1286</v>
      </c>
      <c r="E383" s="3" t="s">
        <v>360</v>
      </c>
      <c r="F383" s="3" t="s">
        <v>1306</v>
      </c>
      <c r="G383" s="3" t="s">
        <v>436</v>
      </c>
      <c r="H383" s="3" t="s">
        <v>1122</v>
      </c>
      <c r="I383" s="3" t="s">
        <v>524</v>
      </c>
    </row>
    <row r="384" customFormat="false" ht="15" hidden="false" customHeight="false" outlineLevel="0" collapsed="false">
      <c r="A384" s="3" t="s">
        <v>1951</v>
      </c>
      <c r="B384" s="3" t="s">
        <v>1952</v>
      </c>
      <c r="C384" s="3" t="s">
        <v>1455</v>
      </c>
      <c r="D384" s="3" t="s">
        <v>1286</v>
      </c>
      <c r="E384" s="3" t="s">
        <v>360</v>
      </c>
      <c r="F384" s="3" t="s">
        <v>1306</v>
      </c>
      <c r="G384" s="3" t="s">
        <v>437</v>
      </c>
      <c r="H384" s="3" t="s">
        <v>1124</v>
      </c>
      <c r="I384" s="3" t="s">
        <v>540</v>
      </c>
    </row>
    <row r="385" customFormat="false" ht="15" hidden="false" customHeight="false" outlineLevel="0" collapsed="false">
      <c r="A385" s="3" t="s">
        <v>1953</v>
      </c>
      <c r="B385" s="3" t="s">
        <v>1954</v>
      </c>
      <c r="C385" s="3" t="s">
        <v>1290</v>
      </c>
      <c r="D385" s="3" t="s">
        <v>1281</v>
      </c>
      <c r="E385" s="3" t="s">
        <v>360</v>
      </c>
      <c r="F385" s="3" t="s">
        <v>1282</v>
      </c>
      <c r="G385" s="3" t="s">
        <v>437</v>
      </c>
      <c r="H385" s="3" t="s">
        <v>1124</v>
      </c>
      <c r="I385" s="3" t="s">
        <v>540</v>
      </c>
    </row>
    <row r="386" customFormat="false" ht="15" hidden="false" customHeight="false" outlineLevel="0" collapsed="false">
      <c r="A386" s="3" t="s">
        <v>1955</v>
      </c>
      <c r="B386" s="3" t="s">
        <v>1956</v>
      </c>
      <c r="C386" s="3" t="s">
        <v>1352</v>
      </c>
      <c r="D386" s="3" t="s">
        <v>1281</v>
      </c>
      <c r="E386" s="3" t="s">
        <v>360</v>
      </c>
      <c r="F386" s="3" t="s">
        <v>1335</v>
      </c>
      <c r="G386" s="3" t="s">
        <v>439</v>
      </c>
      <c r="H386" s="3" t="s">
        <v>1129</v>
      </c>
      <c r="I386" s="3" t="s">
        <v>529</v>
      </c>
    </row>
    <row r="387" customFormat="false" ht="15" hidden="false" customHeight="false" outlineLevel="0" collapsed="false">
      <c r="A387" s="3" t="s">
        <v>1957</v>
      </c>
      <c r="B387" s="3" t="s">
        <v>1958</v>
      </c>
      <c r="C387" s="3" t="s">
        <v>1302</v>
      </c>
      <c r="D387" s="3" t="s">
        <v>1286</v>
      </c>
      <c r="E387" s="3" t="s">
        <v>360</v>
      </c>
      <c r="F387" s="3" t="s">
        <v>1282</v>
      </c>
      <c r="G387" s="3" t="s">
        <v>440</v>
      </c>
      <c r="H387" s="3" t="s">
        <v>1134</v>
      </c>
      <c r="I387" s="3" t="s">
        <v>540</v>
      </c>
    </row>
    <row r="388" customFormat="false" ht="15" hidden="false" customHeight="false" outlineLevel="0" collapsed="false">
      <c r="A388" s="3" t="s">
        <v>1959</v>
      </c>
      <c r="B388" s="3" t="s">
        <v>1960</v>
      </c>
      <c r="C388" s="3" t="s">
        <v>1319</v>
      </c>
      <c r="D388" s="3" t="s">
        <v>1281</v>
      </c>
      <c r="E388" s="3" t="s">
        <v>360</v>
      </c>
      <c r="F388" s="3" t="s">
        <v>1335</v>
      </c>
      <c r="G388" s="3" t="s">
        <v>442</v>
      </c>
      <c r="H388" s="3" t="s">
        <v>1137</v>
      </c>
      <c r="I388" s="3" t="s">
        <v>526</v>
      </c>
    </row>
    <row r="389" customFormat="false" ht="15" hidden="false" customHeight="false" outlineLevel="0" collapsed="false">
      <c r="A389" s="3" t="s">
        <v>1961</v>
      </c>
      <c r="B389" s="3" t="s">
        <v>1962</v>
      </c>
      <c r="C389" s="3" t="s">
        <v>1319</v>
      </c>
      <c r="D389" s="3" t="s">
        <v>1286</v>
      </c>
      <c r="E389" s="3" t="s">
        <v>360</v>
      </c>
      <c r="F389" s="3" t="s">
        <v>1287</v>
      </c>
      <c r="G389" s="3" t="s">
        <v>442</v>
      </c>
      <c r="H389" s="3" t="s">
        <v>1138</v>
      </c>
      <c r="I389" s="3" t="s">
        <v>543</v>
      </c>
    </row>
    <row r="390" customFormat="false" ht="15" hidden="false" customHeight="false" outlineLevel="0" collapsed="false">
      <c r="A390" s="3" t="s">
        <v>1963</v>
      </c>
      <c r="B390" s="3" t="s">
        <v>1964</v>
      </c>
      <c r="C390" s="3" t="s">
        <v>1334</v>
      </c>
      <c r="D390" s="3" t="s">
        <v>1286</v>
      </c>
      <c r="E390" s="3" t="s">
        <v>360</v>
      </c>
      <c r="F390" s="3" t="s">
        <v>1282</v>
      </c>
      <c r="G390" s="3" t="s">
        <v>444</v>
      </c>
      <c r="H390" s="3" t="s">
        <v>1140</v>
      </c>
      <c r="I390" s="3" t="s">
        <v>510</v>
      </c>
    </row>
    <row r="391" customFormat="false" ht="15" hidden="false" customHeight="false" outlineLevel="0" collapsed="false">
      <c r="A391" s="3" t="s">
        <v>1965</v>
      </c>
      <c r="B391" s="3" t="s">
        <v>1966</v>
      </c>
      <c r="C391" s="3" t="s">
        <v>1352</v>
      </c>
      <c r="D391" s="3" t="s">
        <v>1281</v>
      </c>
      <c r="E391" s="3" t="s">
        <v>360</v>
      </c>
      <c r="F391" s="3" t="s">
        <v>1306</v>
      </c>
      <c r="G391" s="3" t="s">
        <v>444</v>
      </c>
      <c r="H391" s="3" t="s">
        <v>1140</v>
      </c>
      <c r="I391" s="3" t="s">
        <v>510</v>
      </c>
    </row>
    <row r="392" customFormat="false" ht="15" hidden="false" customHeight="false" outlineLevel="0" collapsed="false">
      <c r="A392" s="3" t="s">
        <v>1967</v>
      </c>
      <c r="B392" s="3" t="s">
        <v>1966</v>
      </c>
      <c r="C392" s="3" t="s">
        <v>1352</v>
      </c>
      <c r="D392" s="3" t="s">
        <v>1281</v>
      </c>
      <c r="E392" s="3" t="s">
        <v>360</v>
      </c>
      <c r="F392" s="3" t="s">
        <v>1306</v>
      </c>
      <c r="G392" s="3" t="s">
        <v>444</v>
      </c>
      <c r="H392" s="3" t="s">
        <v>1142</v>
      </c>
      <c r="I392" s="3" t="s">
        <v>575</v>
      </c>
    </row>
    <row r="393" customFormat="false" ht="15" hidden="false" customHeight="false" outlineLevel="0" collapsed="false">
      <c r="A393" s="3" t="s">
        <v>1968</v>
      </c>
      <c r="B393" s="3" t="s">
        <v>1969</v>
      </c>
      <c r="C393" s="3" t="s">
        <v>1352</v>
      </c>
      <c r="D393" s="3" t="s">
        <v>1286</v>
      </c>
      <c r="E393" s="3" t="s">
        <v>360</v>
      </c>
      <c r="F393" s="3" t="s">
        <v>1306</v>
      </c>
      <c r="G393" s="3" t="s">
        <v>446</v>
      </c>
      <c r="H393" s="3" t="s">
        <v>1149</v>
      </c>
      <c r="I393" s="3" t="s">
        <v>526</v>
      </c>
    </row>
    <row r="394" customFormat="false" ht="15" hidden="false" customHeight="false" outlineLevel="0" collapsed="false">
      <c r="A394" s="3" t="s">
        <v>1970</v>
      </c>
      <c r="B394" s="3" t="s">
        <v>1969</v>
      </c>
      <c r="C394" s="3" t="s">
        <v>1352</v>
      </c>
      <c r="D394" s="3" t="s">
        <v>1286</v>
      </c>
      <c r="E394" s="3" t="s">
        <v>360</v>
      </c>
      <c r="F394" s="3" t="s">
        <v>1306</v>
      </c>
      <c r="G394" s="3" t="s">
        <v>446</v>
      </c>
      <c r="H394" s="3" t="s">
        <v>1148</v>
      </c>
      <c r="I394" s="3" t="s">
        <v>518</v>
      </c>
    </row>
    <row r="395" customFormat="false" ht="15" hidden="false" customHeight="false" outlineLevel="0" collapsed="false">
      <c r="A395" s="3" t="s">
        <v>1971</v>
      </c>
      <c r="B395" s="3" t="s">
        <v>1972</v>
      </c>
      <c r="C395" s="3" t="s">
        <v>1352</v>
      </c>
      <c r="D395" s="3" t="s">
        <v>1286</v>
      </c>
      <c r="E395" s="3" t="s">
        <v>360</v>
      </c>
      <c r="F395" s="3" t="s">
        <v>1330</v>
      </c>
      <c r="G395" s="3" t="s">
        <v>446</v>
      </c>
      <c r="H395" s="3" t="s">
        <v>1149</v>
      </c>
      <c r="I395" s="3" t="s">
        <v>526</v>
      </c>
    </row>
    <row r="396" customFormat="false" ht="15" hidden="false" customHeight="false" outlineLevel="0" collapsed="false">
      <c r="A396" s="3" t="s">
        <v>1973</v>
      </c>
      <c r="B396" s="3" t="s">
        <v>1972</v>
      </c>
      <c r="C396" s="3" t="s">
        <v>1352</v>
      </c>
      <c r="D396" s="3" t="s">
        <v>1286</v>
      </c>
      <c r="E396" s="3" t="s">
        <v>360</v>
      </c>
      <c r="F396" s="3" t="s">
        <v>1330</v>
      </c>
      <c r="G396" s="3" t="s">
        <v>446</v>
      </c>
      <c r="H396" s="3" t="s">
        <v>1148</v>
      </c>
      <c r="I396" s="3" t="s">
        <v>518</v>
      </c>
    </row>
    <row r="397" customFormat="false" ht="15" hidden="false" customHeight="false" outlineLevel="0" collapsed="false">
      <c r="A397" s="3" t="s">
        <v>1974</v>
      </c>
      <c r="B397" s="3" t="s">
        <v>1975</v>
      </c>
      <c r="C397" s="3" t="s">
        <v>1334</v>
      </c>
      <c r="D397" s="3" t="s">
        <v>1281</v>
      </c>
      <c r="E397" s="3" t="s">
        <v>360</v>
      </c>
      <c r="F397" s="3" t="s">
        <v>1282</v>
      </c>
      <c r="G397" s="3" t="s">
        <v>446</v>
      </c>
      <c r="H397" s="3" t="s">
        <v>1148</v>
      </c>
      <c r="I397" s="3" t="s">
        <v>518</v>
      </c>
    </row>
    <row r="398" customFormat="false" ht="15" hidden="false" customHeight="false" outlineLevel="0" collapsed="false">
      <c r="A398" s="3" t="s">
        <v>1976</v>
      </c>
      <c r="B398" s="3" t="s">
        <v>1977</v>
      </c>
      <c r="C398" s="3" t="s">
        <v>1298</v>
      </c>
      <c r="D398" s="3" t="s">
        <v>1286</v>
      </c>
      <c r="E398" s="3" t="s">
        <v>360</v>
      </c>
      <c r="F398" s="3" t="s">
        <v>1335</v>
      </c>
      <c r="G398" s="3" t="s">
        <v>447</v>
      </c>
      <c r="H398" s="3" t="s">
        <v>1152</v>
      </c>
      <c r="I398" s="3" t="s">
        <v>516</v>
      </c>
    </row>
    <row r="399" customFormat="false" ht="15" hidden="false" customHeight="false" outlineLevel="0" collapsed="false">
      <c r="A399" s="3" t="s">
        <v>1978</v>
      </c>
      <c r="B399" s="3" t="s">
        <v>1977</v>
      </c>
      <c r="C399" s="3" t="s">
        <v>1298</v>
      </c>
      <c r="D399" s="3" t="s">
        <v>1286</v>
      </c>
      <c r="E399" s="3" t="s">
        <v>360</v>
      </c>
      <c r="F399" s="3" t="s">
        <v>1335</v>
      </c>
      <c r="G399" s="3" t="s">
        <v>447</v>
      </c>
      <c r="H399" s="3" t="s">
        <v>1150</v>
      </c>
      <c r="I399" s="3" t="s">
        <v>538</v>
      </c>
    </row>
    <row r="400" customFormat="false" ht="15" hidden="false" customHeight="false" outlineLevel="0" collapsed="false">
      <c r="A400" s="3" t="s">
        <v>1979</v>
      </c>
      <c r="B400" s="3" t="s">
        <v>1980</v>
      </c>
      <c r="C400" s="3" t="s">
        <v>1319</v>
      </c>
      <c r="D400" s="3" t="s">
        <v>1286</v>
      </c>
      <c r="E400" s="3" t="s">
        <v>360</v>
      </c>
      <c r="F400" s="3" t="s">
        <v>1287</v>
      </c>
      <c r="G400" s="3" t="s">
        <v>449</v>
      </c>
      <c r="H400" s="3" t="s">
        <v>1155</v>
      </c>
      <c r="I400" s="3" t="s">
        <v>522</v>
      </c>
    </row>
    <row r="401" customFormat="false" ht="15" hidden="false" customHeight="false" outlineLevel="0" collapsed="false">
      <c r="A401" s="3" t="s">
        <v>1981</v>
      </c>
      <c r="B401" s="3" t="s">
        <v>1980</v>
      </c>
      <c r="C401" s="3" t="s">
        <v>1319</v>
      </c>
      <c r="D401" s="3" t="s">
        <v>1286</v>
      </c>
      <c r="E401" s="3" t="s">
        <v>360</v>
      </c>
      <c r="F401" s="3" t="s">
        <v>1287</v>
      </c>
      <c r="G401" s="3" t="s">
        <v>449</v>
      </c>
      <c r="H401" s="3" t="s">
        <v>1153</v>
      </c>
      <c r="I401" s="3" t="s">
        <v>538</v>
      </c>
    </row>
    <row r="402" customFormat="false" ht="15" hidden="false" customHeight="false" outlineLevel="0" collapsed="false">
      <c r="A402" s="3" t="s">
        <v>1982</v>
      </c>
      <c r="B402" s="3" t="s">
        <v>1983</v>
      </c>
      <c r="C402" s="3" t="s">
        <v>1319</v>
      </c>
      <c r="D402" s="3" t="s">
        <v>1281</v>
      </c>
      <c r="E402" s="3" t="s">
        <v>360</v>
      </c>
      <c r="F402" s="3" t="s">
        <v>1282</v>
      </c>
      <c r="G402" s="3" t="s">
        <v>449</v>
      </c>
      <c r="H402" s="3" t="s">
        <v>1153</v>
      </c>
      <c r="I402" s="3" t="s">
        <v>538</v>
      </c>
    </row>
    <row r="403" customFormat="false" ht="15" hidden="false" customHeight="false" outlineLevel="0" collapsed="false">
      <c r="A403" s="3" t="s">
        <v>1984</v>
      </c>
      <c r="B403" s="3" t="s">
        <v>1983</v>
      </c>
      <c r="C403" s="3" t="s">
        <v>1319</v>
      </c>
      <c r="D403" s="3" t="s">
        <v>1281</v>
      </c>
      <c r="E403" s="3" t="s">
        <v>360</v>
      </c>
      <c r="F403" s="3" t="s">
        <v>1282</v>
      </c>
      <c r="G403" s="3" t="s">
        <v>449</v>
      </c>
      <c r="H403" s="3" t="s">
        <v>1155</v>
      </c>
      <c r="I403" s="3" t="s">
        <v>522</v>
      </c>
    </row>
    <row r="404" customFormat="false" ht="15" hidden="false" customHeight="false" outlineLevel="0" collapsed="false">
      <c r="A404" s="3" t="s">
        <v>1985</v>
      </c>
      <c r="B404" s="3" t="s">
        <v>1986</v>
      </c>
      <c r="C404" s="3" t="s">
        <v>1364</v>
      </c>
      <c r="D404" s="3" t="s">
        <v>1286</v>
      </c>
      <c r="E404" s="3" t="s">
        <v>360</v>
      </c>
      <c r="F404" s="3" t="s">
        <v>1282</v>
      </c>
      <c r="G404" s="3" t="s">
        <v>450</v>
      </c>
      <c r="H404" s="3" t="s">
        <v>1158</v>
      </c>
      <c r="I404" s="3" t="s">
        <v>552</v>
      </c>
    </row>
    <row r="405" customFormat="false" ht="15" hidden="false" customHeight="false" outlineLevel="0" collapsed="false">
      <c r="A405" s="3" t="s">
        <v>1987</v>
      </c>
      <c r="B405" s="3" t="s">
        <v>1988</v>
      </c>
      <c r="C405" s="3" t="s">
        <v>1314</v>
      </c>
      <c r="D405" s="3" t="s">
        <v>1286</v>
      </c>
      <c r="E405" s="3" t="s">
        <v>360</v>
      </c>
      <c r="F405" s="3" t="s">
        <v>1330</v>
      </c>
      <c r="G405" s="3" t="s">
        <v>452</v>
      </c>
      <c r="H405" s="3" t="s">
        <v>1159</v>
      </c>
      <c r="I405" s="3" t="s">
        <v>564</v>
      </c>
    </row>
    <row r="406" customFormat="false" ht="15" hidden="false" customHeight="false" outlineLevel="0" collapsed="false">
      <c r="A406" s="3" t="s">
        <v>1989</v>
      </c>
      <c r="B406" s="3" t="s">
        <v>1988</v>
      </c>
      <c r="C406" s="3" t="s">
        <v>1314</v>
      </c>
      <c r="D406" s="3" t="s">
        <v>1286</v>
      </c>
      <c r="E406" s="3" t="s">
        <v>360</v>
      </c>
      <c r="F406" s="3" t="s">
        <v>1330</v>
      </c>
      <c r="G406" s="3" t="s">
        <v>452</v>
      </c>
      <c r="H406" s="3" t="s">
        <v>1160</v>
      </c>
      <c r="I406" s="3" t="s">
        <v>543</v>
      </c>
    </row>
    <row r="407" customFormat="false" ht="15" hidden="false" customHeight="false" outlineLevel="0" collapsed="false">
      <c r="A407" s="3" t="s">
        <v>1990</v>
      </c>
      <c r="B407" s="3" t="s">
        <v>1988</v>
      </c>
      <c r="C407" s="3" t="s">
        <v>1314</v>
      </c>
      <c r="D407" s="3" t="s">
        <v>1286</v>
      </c>
      <c r="E407" s="3" t="s">
        <v>360</v>
      </c>
      <c r="F407" s="3" t="s">
        <v>1330</v>
      </c>
      <c r="G407" s="3" t="s">
        <v>452</v>
      </c>
      <c r="H407" s="3" t="s">
        <v>1162</v>
      </c>
      <c r="I407" s="3" t="s">
        <v>535</v>
      </c>
    </row>
    <row r="408" customFormat="false" ht="15" hidden="false" customHeight="false" outlineLevel="0" collapsed="false">
      <c r="A408" s="3" t="s">
        <v>1991</v>
      </c>
      <c r="B408" s="3" t="s">
        <v>1992</v>
      </c>
      <c r="C408" s="3" t="s">
        <v>1334</v>
      </c>
      <c r="D408" s="3" t="s">
        <v>1281</v>
      </c>
      <c r="E408" s="3" t="s">
        <v>360</v>
      </c>
      <c r="F408" s="3" t="s">
        <v>1306</v>
      </c>
      <c r="G408" s="3" t="s">
        <v>452</v>
      </c>
      <c r="H408" s="3" t="s">
        <v>1160</v>
      </c>
      <c r="I408" s="3" t="s">
        <v>543</v>
      </c>
    </row>
    <row r="409" customFormat="false" ht="15" hidden="false" customHeight="false" outlineLevel="0" collapsed="false">
      <c r="A409" s="3" t="s">
        <v>1993</v>
      </c>
      <c r="B409" s="3" t="s">
        <v>1992</v>
      </c>
      <c r="C409" s="3" t="s">
        <v>1334</v>
      </c>
      <c r="D409" s="3" t="s">
        <v>1281</v>
      </c>
      <c r="E409" s="3" t="s">
        <v>360</v>
      </c>
      <c r="F409" s="3" t="s">
        <v>1306</v>
      </c>
      <c r="G409" s="3" t="s">
        <v>452</v>
      </c>
      <c r="H409" s="3" t="s">
        <v>1159</v>
      </c>
      <c r="I409" s="3" t="s">
        <v>564</v>
      </c>
    </row>
    <row r="410" customFormat="false" ht="15" hidden="false" customHeight="false" outlineLevel="0" collapsed="false">
      <c r="A410" s="3" t="s">
        <v>1994</v>
      </c>
      <c r="B410" s="3" t="s">
        <v>1995</v>
      </c>
      <c r="C410" s="3" t="s">
        <v>1334</v>
      </c>
      <c r="D410" s="3" t="s">
        <v>1286</v>
      </c>
      <c r="E410" s="3" t="s">
        <v>360</v>
      </c>
      <c r="F410" s="3" t="s">
        <v>1306</v>
      </c>
      <c r="G410" s="3" t="s">
        <v>453</v>
      </c>
      <c r="H410" s="3" t="s">
        <v>1164</v>
      </c>
      <c r="I410" s="3" t="s">
        <v>510</v>
      </c>
    </row>
    <row r="411" customFormat="false" ht="15" hidden="false" customHeight="false" outlineLevel="0" collapsed="false">
      <c r="A411" s="3" t="s">
        <v>1996</v>
      </c>
      <c r="B411" s="3" t="s">
        <v>1995</v>
      </c>
      <c r="C411" s="3" t="s">
        <v>1334</v>
      </c>
      <c r="D411" s="3" t="s">
        <v>1286</v>
      </c>
      <c r="E411" s="3" t="s">
        <v>360</v>
      </c>
      <c r="F411" s="3" t="s">
        <v>1306</v>
      </c>
      <c r="G411" s="3" t="s">
        <v>453</v>
      </c>
      <c r="H411" s="3" t="s">
        <v>1163</v>
      </c>
      <c r="I411" s="3" t="s">
        <v>518</v>
      </c>
    </row>
    <row r="412" customFormat="false" ht="15" hidden="false" customHeight="false" outlineLevel="0" collapsed="false">
      <c r="A412" s="3" t="s">
        <v>1997</v>
      </c>
      <c r="B412" s="3" t="s">
        <v>1998</v>
      </c>
      <c r="C412" s="3" t="s">
        <v>1352</v>
      </c>
      <c r="D412" s="3" t="s">
        <v>1281</v>
      </c>
      <c r="E412" s="3" t="s">
        <v>360</v>
      </c>
      <c r="F412" s="3" t="s">
        <v>1306</v>
      </c>
      <c r="G412" s="3" t="s">
        <v>454</v>
      </c>
      <c r="H412" s="3" t="s">
        <v>1168</v>
      </c>
      <c r="I412" s="3" t="s">
        <v>540</v>
      </c>
    </row>
    <row r="413" customFormat="false" ht="15" hidden="false" customHeight="false" outlineLevel="0" collapsed="false">
      <c r="A413" s="3" t="s">
        <v>1999</v>
      </c>
      <c r="B413" s="3" t="s">
        <v>2000</v>
      </c>
      <c r="C413" s="3" t="s">
        <v>1352</v>
      </c>
      <c r="D413" s="3" t="s">
        <v>1286</v>
      </c>
      <c r="E413" s="3" t="s">
        <v>360</v>
      </c>
      <c r="F413" s="3" t="s">
        <v>1335</v>
      </c>
      <c r="G413" s="3" t="s">
        <v>455</v>
      </c>
      <c r="H413" s="3" t="s">
        <v>1170</v>
      </c>
      <c r="I413" s="3" t="s">
        <v>548</v>
      </c>
    </row>
    <row r="414" customFormat="false" ht="15" hidden="false" customHeight="false" outlineLevel="0" collapsed="false">
      <c r="A414" s="3" t="s">
        <v>2001</v>
      </c>
      <c r="B414" s="3" t="s">
        <v>2002</v>
      </c>
      <c r="C414" s="3" t="s">
        <v>1474</v>
      </c>
      <c r="D414" s="3" t="s">
        <v>1286</v>
      </c>
      <c r="E414" s="3" t="s">
        <v>360</v>
      </c>
      <c r="F414" s="3" t="s">
        <v>1282</v>
      </c>
      <c r="G414" s="3" t="s">
        <v>455</v>
      </c>
      <c r="H414" s="3" t="s">
        <v>1170</v>
      </c>
      <c r="I414" s="3" t="s">
        <v>548</v>
      </c>
    </row>
    <row r="415" customFormat="false" ht="15" hidden="false" customHeight="false" outlineLevel="0" collapsed="false">
      <c r="A415" s="3" t="s">
        <v>2003</v>
      </c>
      <c r="B415" s="3" t="s">
        <v>2004</v>
      </c>
      <c r="C415" s="3" t="s">
        <v>1305</v>
      </c>
      <c r="D415" s="3" t="s">
        <v>1286</v>
      </c>
      <c r="E415" s="3" t="s">
        <v>360</v>
      </c>
      <c r="F415" s="3" t="s">
        <v>1335</v>
      </c>
      <c r="G415" s="3" t="s">
        <v>456</v>
      </c>
      <c r="H415" s="3" t="s">
        <v>1175</v>
      </c>
      <c r="I415" s="3" t="s">
        <v>552</v>
      </c>
    </row>
    <row r="416" customFormat="false" ht="15" hidden="false" customHeight="false" outlineLevel="0" collapsed="false">
      <c r="A416" s="3" t="s">
        <v>2005</v>
      </c>
      <c r="B416" s="3" t="s">
        <v>2004</v>
      </c>
      <c r="C416" s="3" t="s">
        <v>1305</v>
      </c>
      <c r="D416" s="3" t="s">
        <v>1286</v>
      </c>
      <c r="E416" s="3" t="s">
        <v>360</v>
      </c>
      <c r="F416" s="3" t="s">
        <v>1335</v>
      </c>
      <c r="G416" s="3" t="s">
        <v>456</v>
      </c>
      <c r="H416" s="3" t="s">
        <v>1176</v>
      </c>
      <c r="I416" s="3" t="s">
        <v>548</v>
      </c>
    </row>
    <row r="417" customFormat="false" ht="15" hidden="false" customHeight="false" outlineLevel="0" collapsed="false">
      <c r="A417" s="3" t="s">
        <v>2006</v>
      </c>
      <c r="B417" s="3" t="s">
        <v>2007</v>
      </c>
      <c r="C417" s="3" t="s">
        <v>1302</v>
      </c>
      <c r="D417" s="3" t="s">
        <v>1286</v>
      </c>
      <c r="E417" s="3" t="s">
        <v>360</v>
      </c>
      <c r="F417" s="3" t="s">
        <v>1282</v>
      </c>
      <c r="G417" s="3" t="s">
        <v>456</v>
      </c>
      <c r="H417" s="3" t="s">
        <v>1176</v>
      </c>
      <c r="I417" s="3" t="s">
        <v>548</v>
      </c>
    </row>
    <row r="418" customFormat="false" ht="15" hidden="false" customHeight="false" outlineLevel="0" collapsed="false">
      <c r="A418" s="3" t="s">
        <v>2008</v>
      </c>
      <c r="B418" s="3" t="s">
        <v>2009</v>
      </c>
      <c r="C418" s="3" t="s">
        <v>1364</v>
      </c>
      <c r="D418" s="3" t="s">
        <v>1286</v>
      </c>
      <c r="E418" s="3" t="s">
        <v>360</v>
      </c>
      <c r="F418" s="3" t="s">
        <v>1287</v>
      </c>
      <c r="G418" s="3" t="s">
        <v>456</v>
      </c>
      <c r="H418" s="3" t="s">
        <v>1175</v>
      </c>
      <c r="I418" s="3" t="s">
        <v>552</v>
      </c>
    </row>
    <row r="419" customFormat="false" ht="15" hidden="false" customHeight="false" outlineLevel="0" collapsed="false">
      <c r="A419" s="3" t="s">
        <v>2010</v>
      </c>
      <c r="B419" s="3" t="s">
        <v>2009</v>
      </c>
      <c r="C419" s="3" t="s">
        <v>1364</v>
      </c>
      <c r="D419" s="3" t="s">
        <v>1286</v>
      </c>
      <c r="E419" s="3" t="s">
        <v>360</v>
      </c>
      <c r="F419" s="3" t="s">
        <v>1287</v>
      </c>
      <c r="G419" s="3" t="s">
        <v>456</v>
      </c>
      <c r="H419" s="3" t="s">
        <v>1176</v>
      </c>
      <c r="I419" s="3" t="s">
        <v>548</v>
      </c>
    </row>
    <row r="420" customFormat="false" ht="15" hidden="false" customHeight="false" outlineLevel="0" collapsed="false">
      <c r="A420" s="3" t="s">
        <v>2011</v>
      </c>
      <c r="B420" s="3" t="s">
        <v>2012</v>
      </c>
      <c r="C420" s="3" t="s">
        <v>1402</v>
      </c>
      <c r="D420" s="3" t="s">
        <v>1286</v>
      </c>
      <c r="E420" s="3" t="s">
        <v>360</v>
      </c>
      <c r="F420" s="3" t="s">
        <v>1282</v>
      </c>
      <c r="G420" s="3" t="s">
        <v>458</v>
      </c>
      <c r="H420" s="3" t="s">
        <v>1178</v>
      </c>
      <c r="I420" s="3" t="s">
        <v>524</v>
      </c>
    </row>
    <row r="421" customFormat="false" ht="15" hidden="false" customHeight="false" outlineLevel="0" collapsed="false">
      <c r="A421" s="3" t="s">
        <v>2013</v>
      </c>
      <c r="B421" s="3" t="s">
        <v>2014</v>
      </c>
      <c r="C421" s="3" t="s">
        <v>1314</v>
      </c>
      <c r="D421" s="3" t="s">
        <v>1286</v>
      </c>
      <c r="E421" s="3" t="s">
        <v>360</v>
      </c>
      <c r="F421" s="3" t="s">
        <v>1282</v>
      </c>
      <c r="G421" s="3" t="s">
        <v>459</v>
      </c>
      <c r="H421" s="3" t="s">
        <v>1179</v>
      </c>
      <c r="I421" s="3" t="s">
        <v>531</v>
      </c>
    </row>
    <row r="422" customFormat="false" ht="15" hidden="false" customHeight="false" outlineLevel="0" collapsed="false">
      <c r="A422" s="3" t="s">
        <v>2015</v>
      </c>
      <c r="B422" s="3" t="s">
        <v>2016</v>
      </c>
      <c r="C422" s="3" t="s">
        <v>1474</v>
      </c>
      <c r="D422" s="3" t="s">
        <v>1286</v>
      </c>
      <c r="E422" s="3" t="s">
        <v>360</v>
      </c>
      <c r="F422" s="3" t="s">
        <v>1335</v>
      </c>
      <c r="G422" s="3" t="s">
        <v>459</v>
      </c>
      <c r="H422" s="3" t="s">
        <v>1179</v>
      </c>
      <c r="I422" s="3" t="s">
        <v>531</v>
      </c>
    </row>
    <row r="423" customFormat="false" ht="15" hidden="false" customHeight="false" outlineLevel="0" collapsed="false">
      <c r="A423" s="3" t="s">
        <v>2017</v>
      </c>
      <c r="B423" s="3" t="s">
        <v>2018</v>
      </c>
      <c r="C423" s="3" t="s">
        <v>1302</v>
      </c>
      <c r="D423" s="3" t="s">
        <v>1281</v>
      </c>
      <c r="E423" s="3" t="s">
        <v>360</v>
      </c>
      <c r="F423" s="3" t="s">
        <v>1330</v>
      </c>
      <c r="G423" s="3" t="s">
        <v>461</v>
      </c>
      <c r="H423" s="3" t="s">
        <v>1184</v>
      </c>
      <c r="I423" s="3" t="s">
        <v>522</v>
      </c>
    </row>
    <row r="424" customFormat="false" ht="15" hidden="false" customHeight="false" outlineLevel="0" collapsed="false">
      <c r="A424" s="3" t="s">
        <v>2019</v>
      </c>
      <c r="B424" s="3" t="s">
        <v>2020</v>
      </c>
      <c r="C424" s="3" t="s">
        <v>1327</v>
      </c>
      <c r="D424" s="3" t="s">
        <v>1286</v>
      </c>
      <c r="E424" s="3" t="s">
        <v>360</v>
      </c>
      <c r="F424" s="3" t="s">
        <v>1282</v>
      </c>
      <c r="G424" s="3" t="s">
        <v>463</v>
      </c>
      <c r="H424" s="3" t="s">
        <v>1189</v>
      </c>
      <c r="I424" s="3" t="s">
        <v>526</v>
      </c>
    </row>
    <row r="425" customFormat="false" ht="15" hidden="false" customHeight="false" outlineLevel="0" collapsed="false">
      <c r="A425" s="3" t="s">
        <v>2021</v>
      </c>
      <c r="B425" s="3" t="s">
        <v>2022</v>
      </c>
      <c r="C425" s="3" t="s">
        <v>1355</v>
      </c>
      <c r="D425" s="3" t="s">
        <v>1286</v>
      </c>
      <c r="E425" s="3" t="s">
        <v>360</v>
      </c>
      <c r="F425" s="3" t="s">
        <v>1282</v>
      </c>
      <c r="G425" s="3" t="s">
        <v>464</v>
      </c>
      <c r="H425" s="3" t="s">
        <v>1193</v>
      </c>
      <c r="I425" s="3" t="s">
        <v>548</v>
      </c>
    </row>
    <row r="426" customFormat="false" ht="15" hidden="false" customHeight="false" outlineLevel="0" collapsed="false">
      <c r="A426" s="3" t="s">
        <v>2023</v>
      </c>
      <c r="B426" s="3" t="s">
        <v>2022</v>
      </c>
      <c r="C426" s="3" t="s">
        <v>1355</v>
      </c>
      <c r="D426" s="3" t="s">
        <v>1286</v>
      </c>
      <c r="E426" s="3" t="s">
        <v>360</v>
      </c>
      <c r="F426" s="3" t="s">
        <v>1282</v>
      </c>
      <c r="G426" s="3" t="s">
        <v>464</v>
      </c>
      <c r="H426" s="3" t="s">
        <v>1190</v>
      </c>
      <c r="I426" s="3" t="s">
        <v>535</v>
      </c>
    </row>
    <row r="427" customFormat="false" ht="15" hidden="false" customHeight="false" outlineLevel="0" collapsed="false">
      <c r="A427" s="3" t="s">
        <v>2024</v>
      </c>
      <c r="B427" s="3" t="s">
        <v>2022</v>
      </c>
      <c r="C427" s="3" t="s">
        <v>1355</v>
      </c>
      <c r="D427" s="3" t="s">
        <v>1286</v>
      </c>
      <c r="E427" s="3" t="s">
        <v>360</v>
      </c>
      <c r="F427" s="3" t="s">
        <v>1282</v>
      </c>
      <c r="G427" s="3" t="s">
        <v>464</v>
      </c>
      <c r="H427" s="3" t="s">
        <v>1191</v>
      </c>
      <c r="I427" s="3" t="s">
        <v>510</v>
      </c>
    </row>
    <row r="428" customFormat="false" ht="15" hidden="false" customHeight="false" outlineLevel="0" collapsed="false">
      <c r="A428" s="3" t="s">
        <v>2025</v>
      </c>
      <c r="B428" s="3" t="s">
        <v>2026</v>
      </c>
      <c r="C428" s="3" t="s">
        <v>1319</v>
      </c>
      <c r="D428" s="3" t="s">
        <v>1286</v>
      </c>
      <c r="E428" s="3" t="s">
        <v>360</v>
      </c>
      <c r="F428" s="3" t="s">
        <v>1330</v>
      </c>
      <c r="G428" s="3" t="s">
        <v>464</v>
      </c>
      <c r="H428" s="3" t="s">
        <v>1191</v>
      </c>
      <c r="I428" s="3" t="s">
        <v>510</v>
      </c>
    </row>
    <row r="429" customFormat="false" ht="15" hidden="false" customHeight="false" outlineLevel="0" collapsed="false">
      <c r="A429" s="3" t="s">
        <v>2027</v>
      </c>
      <c r="B429" s="3" t="s">
        <v>2028</v>
      </c>
      <c r="C429" s="3" t="s">
        <v>1405</v>
      </c>
      <c r="D429" s="3" t="s">
        <v>1286</v>
      </c>
      <c r="E429" s="3" t="s">
        <v>360</v>
      </c>
      <c r="F429" s="3" t="s">
        <v>1306</v>
      </c>
      <c r="G429" s="3" t="s">
        <v>465</v>
      </c>
      <c r="H429" s="3" t="s">
        <v>1196</v>
      </c>
      <c r="I429" s="3" t="s">
        <v>518</v>
      </c>
    </row>
    <row r="430" customFormat="false" ht="15" hidden="false" customHeight="false" outlineLevel="0" collapsed="false">
      <c r="A430" s="3" t="s">
        <v>2029</v>
      </c>
      <c r="B430" s="3" t="s">
        <v>2028</v>
      </c>
      <c r="C430" s="3" t="s">
        <v>1405</v>
      </c>
      <c r="D430" s="3" t="s">
        <v>1286</v>
      </c>
      <c r="E430" s="3" t="s">
        <v>360</v>
      </c>
      <c r="F430" s="3" t="s">
        <v>1306</v>
      </c>
      <c r="G430" s="3" t="s">
        <v>465</v>
      </c>
      <c r="H430" s="3" t="s">
        <v>1197</v>
      </c>
      <c r="I430" s="3" t="s">
        <v>543</v>
      </c>
    </row>
    <row r="431" customFormat="false" ht="15" hidden="false" customHeight="false" outlineLevel="0" collapsed="false">
      <c r="A431" s="3" t="s">
        <v>2030</v>
      </c>
      <c r="B431" s="3" t="s">
        <v>2031</v>
      </c>
      <c r="C431" s="3" t="s">
        <v>1402</v>
      </c>
      <c r="D431" s="3" t="s">
        <v>1286</v>
      </c>
      <c r="E431" s="3" t="s">
        <v>360</v>
      </c>
      <c r="F431" s="3" t="s">
        <v>1287</v>
      </c>
      <c r="G431" s="3" t="s">
        <v>465</v>
      </c>
      <c r="H431" s="3" t="s">
        <v>1196</v>
      </c>
      <c r="I431" s="3" t="s">
        <v>518</v>
      </c>
    </row>
    <row r="432" customFormat="false" ht="15" hidden="false" customHeight="false" outlineLevel="0" collapsed="false">
      <c r="A432" s="3" t="s">
        <v>2032</v>
      </c>
      <c r="B432" s="3" t="s">
        <v>2031</v>
      </c>
      <c r="C432" s="3" t="s">
        <v>1402</v>
      </c>
      <c r="D432" s="3" t="s">
        <v>1286</v>
      </c>
      <c r="E432" s="3" t="s">
        <v>360</v>
      </c>
      <c r="F432" s="3" t="s">
        <v>1287</v>
      </c>
      <c r="G432" s="3" t="s">
        <v>465</v>
      </c>
      <c r="H432" s="3" t="s">
        <v>1197</v>
      </c>
      <c r="I432" s="3" t="s">
        <v>543</v>
      </c>
    </row>
    <row r="433" customFormat="false" ht="15" hidden="false" customHeight="false" outlineLevel="0" collapsed="false">
      <c r="A433" s="3" t="s">
        <v>2033</v>
      </c>
      <c r="B433" s="3" t="s">
        <v>2034</v>
      </c>
      <c r="C433" s="3" t="s">
        <v>1298</v>
      </c>
      <c r="D433" s="3" t="s">
        <v>1286</v>
      </c>
      <c r="E433" s="3" t="s">
        <v>360</v>
      </c>
      <c r="F433" s="3" t="s">
        <v>1287</v>
      </c>
      <c r="G433" s="3" t="s">
        <v>465</v>
      </c>
      <c r="H433" s="3" t="s">
        <v>1197</v>
      </c>
      <c r="I433" s="3" t="s">
        <v>543</v>
      </c>
    </row>
    <row r="434" customFormat="false" ht="15" hidden="false" customHeight="false" outlineLevel="0" collapsed="false">
      <c r="A434" s="3" t="s">
        <v>2035</v>
      </c>
      <c r="B434" s="3" t="s">
        <v>2034</v>
      </c>
      <c r="C434" s="3" t="s">
        <v>1298</v>
      </c>
      <c r="D434" s="3" t="s">
        <v>1286</v>
      </c>
      <c r="E434" s="3" t="s">
        <v>360</v>
      </c>
      <c r="F434" s="3" t="s">
        <v>1287</v>
      </c>
      <c r="G434" s="3" t="s">
        <v>465</v>
      </c>
      <c r="H434" s="3" t="s">
        <v>1196</v>
      </c>
      <c r="I434" s="3" t="s">
        <v>518</v>
      </c>
    </row>
    <row r="435" customFormat="false" ht="15" hidden="false" customHeight="false" outlineLevel="0" collapsed="false">
      <c r="A435" s="3" t="s">
        <v>2036</v>
      </c>
      <c r="B435" s="3" t="s">
        <v>2037</v>
      </c>
      <c r="C435" s="3" t="s">
        <v>1302</v>
      </c>
      <c r="D435" s="3" t="s">
        <v>1286</v>
      </c>
      <c r="E435" s="3" t="s">
        <v>360</v>
      </c>
      <c r="F435" s="3" t="s">
        <v>1287</v>
      </c>
      <c r="G435" s="3" t="s">
        <v>469</v>
      </c>
      <c r="H435" s="3" t="s">
        <v>1202</v>
      </c>
      <c r="I435" s="3" t="s">
        <v>552</v>
      </c>
    </row>
    <row r="436" customFormat="false" ht="15" hidden="false" customHeight="false" outlineLevel="0" collapsed="false">
      <c r="A436" s="3" t="s">
        <v>2038</v>
      </c>
      <c r="B436" s="3" t="s">
        <v>2037</v>
      </c>
      <c r="C436" s="3" t="s">
        <v>1302</v>
      </c>
      <c r="D436" s="3" t="s">
        <v>1286</v>
      </c>
      <c r="E436" s="3" t="s">
        <v>360</v>
      </c>
      <c r="F436" s="3" t="s">
        <v>1287</v>
      </c>
      <c r="G436" s="3" t="s">
        <v>469</v>
      </c>
      <c r="H436" s="3" t="s">
        <v>1201</v>
      </c>
      <c r="I436" s="3" t="s">
        <v>575</v>
      </c>
    </row>
    <row r="437" customFormat="false" ht="15" hidden="false" customHeight="false" outlineLevel="0" collapsed="false">
      <c r="A437" s="3" t="s">
        <v>2039</v>
      </c>
      <c r="B437" s="3" t="s">
        <v>2040</v>
      </c>
      <c r="C437" s="3" t="s">
        <v>1302</v>
      </c>
      <c r="D437" s="3" t="s">
        <v>1286</v>
      </c>
      <c r="E437" s="3" t="s">
        <v>360</v>
      </c>
      <c r="F437" s="3" t="s">
        <v>1287</v>
      </c>
      <c r="G437" s="3" t="s">
        <v>469</v>
      </c>
      <c r="H437" s="3" t="s">
        <v>1202</v>
      </c>
      <c r="I437" s="3" t="s">
        <v>552</v>
      </c>
    </row>
    <row r="438" customFormat="false" ht="15" hidden="false" customHeight="false" outlineLevel="0" collapsed="false">
      <c r="A438" s="3" t="s">
        <v>2041</v>
      </c>
      <c r="B438" s="3" t="s">
        <v>2040</v>
      </c>
      <c r="C438" s="3" t="s">
        <v>1302</v>
      </c>
      <c r="D438" s="3" t="s">
        <v>1286</v>
      </c>
      <c r="E438" s="3" t="s">
        <v>360</v>
      </c>
      <c r="F438" s="3" t="s">
        <v>1287</v>
      </c>
      <c r="G438" s="3" t="s">
        <v>469</v>
      </c>
      <c r="H438" s="3" t="s">
        <v>1201</v>
      </c>
      <c r="I438" s="3" t="s">
        <v>575</v>
      </c>
    </row>
    <row r="439" customFormat="false" ht="15" hidden="false" customHeight="false" outlineLevel="0" collapsed="false">
      <c r="A439" s="3" t="s">
        <v>2042</v>
      </c>
      <c r="B439" s="3" t="s">
        <v>2043</v>
      </c>
      <c r="C439" s="3" t="s">
        <v>1364</v>
      </c>
      <c r="D439" s="3" t="s">
        <v>1286</v>
      </c>
      <c r="E439" s="3" t="s">
        <v>360</v>
      </c>
      <c r="F439" s="3" t="s">
        <v>1287</v>
      </c>
      <c r="G439" s="3" t="s">
        <v>469</v>
      </c>
      <c r="H439" s="3" t="s">
        <v>1202</v>
      </c>
      <c r="I439" s="3" t="s">
        <v>552</v>
      </c>
    </row>
    <row r="440" customFormat="false" ht="15" hidden="false" customHeight="false" outlineLevel="0" collapsed="false">
      <c r="A440" s="3" t="s">
        <v>2044</v>
      </c>
      <c r="B440" s="3" t="s">
        <v>2043</v>
      </c>
      <c r="C440" s="3" t="s">
        <v>1364</v>
      </c>
      <c r="D440" s="3" t="s">
        <v>1286</v>
      </c>
      <c r="E440" s="3" t="s">
        <v>360</v>
      </c>
      <c r="F440" s="3" t="s">
        <v>1287</v>
      </c>
      <c r="G440" s="3" t="s">
        <v>469</v>
      </c>
      <c r="H440" s="3" t="s">
        <v>1201</v>
      </c>
      <c r="I440" s="3" t="s">
        <v>575</v>
      </c>
    </row>
    <row r="441" customFormat="false" ht="15" hidden="false" customHeight="false" outlineLevel="0" collapsed="false">
      <c r="A441" s="3" t="s">
        <v>2045</v>
      </c>
      <c r="B441" s="3" t="s">
        <v>2046</v>
      </c>
      <c r="C441" s="3" t="s">
        <v>1305</v>
      </c>
      <c r="D441" s="3" t="s">
        <v>1286</v>
      </c>
      <c r="E441" s="3" t="s">
        <v>360</v>
      </c>
      <c r="F441" s="3" t="s">
        <v>1282</v>
      </c>
      <c r="G441" s="3" t="s">
        <v>471</v>
      </c>
      <c r="H441" s="3" t="s">
        <v>1203</v>
      </c>
      <c r="I441" s="3" t="s">
        <v>575</v>
      </c>
    </row>
    <row r="442" customFormat="false" ht="15" hidden="false" customHeight="false" outlineLevel="0" collapsed="false">
      <c r="A442" s="3" t="s">
        <v>2047</v>
      </c>
      <c r="B442" s="3" t="s">
        <v>2046</v>
      </c>
      <c r="C442" s="3" t="s">
        <v>1305</v>
      </c>
      <c r="D442" s="3" t="s">
        <v>1286</v>
      </c>
      <c r="E442" s="3" t="s">
        <v>360</v>
      </c>
      <c r="F442" s="3" t="s">
        <v>1282</v>
      </c>
      <c r="G442" s="3" t="s">
        <v>471</v>
      </c>
      <c r="H442" s="3" t="s">
        <v>1204</v>
      </c>
      <c r="I442" s="3" t="s">
        <v>524</v>
      </c>
    </row>
    <row r="443" customFormat="false" ht="15" hidden="false" customHeight="false" outlineLevel="0" collapsed="false">
      <c r="A443" s="3" t="s">
        <v>2048</v>
      </c>
      <c r="B443" s="3" t="s">
        <v>2049</v>
      </c>
      <c r="C443" s="3" t="s">
        <v>1305</v>
      </c>
      <c r="D443" s="3" t="s">
        <v>1286</v>
      </c>
      <c r="E443" s="3" t="s">
        <v>360</v>
      </c>
      <c r="F443" s="3" t="s">
        <v>1306</v>
      </c>
      <c r="G443" s="3" t="s">
        <v>473</v>
      </c>
      <c r="H443" s="3" t="s">
        <v>1207</v>
      </c>
      <c r="I443" s="3" t="s">
        <v>510</v>
      </c>
    </row>
    <row r="444" customFormat="false" ht="15" hidden="false" customHeight="false" outlineLevel="0" collapsed="false">
      <c r="A444" s="3" t="s">
        <v>2050</v>
      </c>
      <c r="B444" s="3" t="s">
        <v>2049</v>
      </c>
      <c r="C444" s="3" t="s">
        <v>1305</v>
      </c>
      <c r="D444" s="3" t="s">
        <v>1286</v>
      </c>
      <c r="E444" s="3" t="s">
        <v>360</v>
      </c>
      <c r="F444" s="3" t="s">
        <v>1306</v>
      </c>
      <c r="G444" s="3" t="s">
        <v>473</v>
      </c>
      <c r="H444" s="3" t="s">
        <v>1205</v>
      </c>
      <c r="I444" s="3" t="s">
        <v>548</v>
      </c>
    </row>
    <row r="445" customFormat="false" ht="15" hidden="false" customHeight="false" outlineLevel="0" collapsed="false">
      <c r="A445" s="3" t="s">
        <v>2051</v>
      </c>
      <c r="B445" s="3" t="s">
        <v>2049</v>
      </c>
      <c r="C445" s="3" t="s">
        <v>1305</v>
      </c>
      <c r="D445" s="3" t="s">
        <v>1286</v>
      </c>
      <c r="E445" s="3" t="s">
        <v>360</v>
      </c>
      <c r="F445" s="3" t="s">
        <v>1306</v>
      </c>
      <c r="G445" s="3" t="s">
        <v>473</v>
      </c>
      <c r="H445" s="3" t="s">
        <v>1206</v>
      </c>
      <c r="I445" s="3" t="s">
        <v>543</v>
      </c>
    </row>
    <row r="446" customFormat="false" ht="15" hidden="false" customHeight="false" outlineLevel="0" collapsed="false">
      <c r="A446" s="3" t="s">
        <v>2052</v>
      </c>
      <c r="B446" s="3" t="s">
        <v>2053</v>
      </c>
      <c r="C446" s="3" t="s">
        <v>1305</v>
      </c>
      <c r="D446" s="3" t="s">
        <v>1286</v>
      </c>
      <c r="E446" s="3" t="s">
        <v>360</v>
      </c>
      <c r="F446" s="3" t="s">
        <v>1282</v>
      </c>
      <c r="G446" s="3" t="s">
        <v>473</v>
      </c>
      <c r="H446" s="3" t="s">
        <v>1207</v>
      </c>
      <c r="I446" s="3" t="s">
        <v>510</v>
      </c>
    </row>
    <row r="447" customFormat="false" ht="15" hidden="false" customHeight="false" outlineLevel="0" collapsed="false">
      <c r="A447" s="3" t="s">
        <v>2054</v>
      </c>
      <c r="B447" s="3" t="s">
        <v>2055</v>
      </c>
      <c r="C447" s="3" t="s">
        <v>1488</v>
      </c>
      <c r="D447" s="3" t="s">
        <v>1286</v>
      </c>
      <c r="E447" s="3" t="s">
        <v>360</v>
      </c>
      <c r="F447" s="3" t="s">
        <v>1282</v>
      </c>
      <c r="G447" s="3" t="s">
        <v>474</v>
      </c>
      <c r="H447" s="3" t="s">
        <v>1209</v>
      </c>
      <c r="I447" s="3" t="s">
        <v>540</v>
      </c>
    </row>
    <row r="448" customFormat="false" ht="15" hidden="false" customHeight="false" outlineLevel="0" collapsed="false">
      <c r="A448" s="3" t="s">
        <v>2056</v>
      </c>
      <c r="B448" s="3" t="s">
        <v>2057</v>
      </c>
      <c r="C448" s="3" t="s">
        <v>1587</v>
      </c>
      <c r="D448" s="3" t="s">
        <v>1286</v>
      </c>
      <c r="E448" s="3" t="s">
        <v>360</v>
      </c>
      <c r="F448" s="3" t="s">
        <v>1306</v>
      </c>
      <c r="G448" s="3" t="s">
        <v>476</v>
      </c>
      <c r="H448" s="3" t="s">
        <v>1211</v>
      </c>
      <c r="I448" s="3" t="s">
        <v>548</v>
      </c>
    </row>
    <row r="449" customFormat="false" ht="15" hidden="false" customHeight="false" outlineLevel="0" collapsed="false">
      <c r="A449" s="3" t="s">
        <v>2058</v>
      </c>
      <c r="B449" s="3" t="s">
        <v>2059</v>
      </c>
      <c r="C449" s="3" t="s">
        <v>1352</v>
      </c>
      <c r="D449" s="3" t="s">
        <v>1286</v>
      </c>
      <c r="E449" s="3" t="s">
        <v>360</v>
      </c>
      <c r="F449" s="3" t="s">
        <v>1330</v>
      </c>
      <c r="G449" s="3" t="s">
        <v>477</v>
      </c>
      <c r="H449" s="3" t="s">
        <v>1213</v>
      </c>
      <c r="I449" s="3" t="s">
        <v>548</v>
      </c>
    </row>
    <row r="450" customFormat="false" ht="15" hidden="false" customHeight="false" outlineLevel="0" collapsed="false">
      <c r="A450" s="3" t="s">
        <v>2060</v>
      </c>
      <c r="B450" s="3" t="s">
        <v>2061</v>
      </c>
      <c r="C450" s="3" t="s">
        <v>1314</v>
      </c>
      <c r="D450" s="3" t="s">
        <v>1286</v>
      </c>
      <c r="E450" s="3" t="s">
        <v>360</v>
      </c>
      <c r="F450" s="3" t="s">
        <v>1282</v>
      </c>
      <c r="G450" s="3" t="s">
        <v>477</v>
      </c>
      <c r="H450" s="3" t="s">
        <v>1213</v>
      </c>
      <c r="I450" s="3" t="s">
        <v>548</v>
      </c>
    </row>
    <row r="451" customFormat="false" ht="15" hidden="false" customHeight="false" outlineLevel="0" collapsed="false">
      <c r="A451" s="3" t="s">
        <v>2062</v>
      </c>
      <c r="B451" s="3" t="s">
        <v>2063</v>
      </c>
      <c r="C451" s="3" t="s">
        <v>1327</v>
      </c>
      <c r="D451" s="3" t="s">
        <v>1281</v>
      </c>
      <c r="E451" s="3" t="s">
        <v>360</v>
      </c>
      <c r="F451" s="3" t="s">
        <v>1282</v>
      </c>
      <c r="G451" s="3" t="s">
        <v>477</v>
      </c>
      <c r="H451" s="3" t="s">
        <v>1213</v>
      </c>
      <c r="I451" s="3" t="s">
        <v>548</v>
      </c>
    </row>
    <row r="452" customFormat="false" ht="15" hidden="false" customHeight="false" outlineLevel="0" collapsed="false">
      <c r="A452" s="3" t="s">
        <v>2064</v>
      </c>
      <c r="B452" s="3" t="s">
        <v>2065</v>
      </c>
      <c r="C452" s="3" t="s">
        <v>1285</v>
      </c>
      <c r="D452" s="3" t="s">
        <v>1286</v>
      </c>
      <c r="E452" s="3" t="s">
        <v>360</v>
      </c>
      <c r="F452" s="3" t="s">
        <v>1335</v>
      </c>
      <c r="G452" s="3" t="s">
        <v>478</v>
      </c>
      <c r="H452" s="3" t="s">
        <v>1214</v>
      </c>
      <c r="I452" s="3" t="s">
        <v>516</v>
      </c>
    </row>
    <row r="453" customFormat="false" ht="15" hidden="false" customHeight="false" outlineLevel="0" collapsed="false">
      <c r="A453" s="3" t="s">
        <v>2066</v>
      </c>
      <c r="B453" s="3" t="s">
        <v>2067</v>
      </c>
      <c r="C453" s="3" t="s">
        <v>1396</v>
      </c>
      <c r="D453" s="3" t="s">
        <v>1286</v>
      </c>
      <c r="E453" s="3" t="s">
        <v>360</v>
      </c>
      <c r="F453" s="3" t="s">
        <v>1335</v>
      </c>
      <c r="G453" s="3" t="s">
        <v>478</v>
      </c>
      <c r="H453" s="3" t="s">
        <v>1214</v>
      </c>
      <c r="I453" s="3" t="s">
        <v>516</v>
      </c>
    </row>
    <row r="454" customFormat="false" ht="15" hidden="false" customHeight="false" outlineLevel="0" collapsed="false">
      <c r="A454" s="3" t="s">
        <v>2068</v>
      </c>
      <c r="B454" s="3" t="s">
        <v>2069</v>
      </c>
      <c r="C454" s="3" t="s">
        <v>1587</v>
      </c>
      <c r="D454" s="3" t="s">
        <v>1281</v>
      </c>
      <c r="E454" s="3" t="s">
        <v>360</v>
      </c>
      <c r="F454" s="3" t="s">
        <v>1282</v>
      </c>
      <c r="G454" s="3" t="s">
        <v>479</v>
      </c>
      <c r="H454" s="3" t="s">
        <v>1217</v>
      </c>
      <c r="I454" s="3" t="s">
        <v>564</v>
      </c>
    </row>
    <row r="455" customFormat="false" ht="15" hidden="false" customHeight="false" outlineLevel="0" collapsed="false">
      <c r="A455" s="3" t="s">
        <v>2070</v>
      </c>
      <c r="B455" s="3" t="s">
        <v>2071</v>
      </c>
      <c r="C455" s="3" t="s">
        <v>1435</v>
      </c>
      <c r="D455" s="3" t="s">
        <v>1286</v>
      </c>
      <c r="E455" s="3" t="s">
        <v>360</v>
      </c>
      <c r="F455" s="3" t="s">
        <v>1306</v>
      </c>
      <c r="G455" s="3" t="s">
        <v>479</v>
      </c>
      <c r="H455" s="3" t="s">
        <v>1216</v>
      </c>
      <c r="I455" s="3" t="s">
        <v>529</v>
      </c>
    </row>
    <row r="456" customFormat="false" ht="15" hidden="false" customHeight="false" outlineLevel="0" collapsed="false">
      <c r="A456" s="3" t="s">
        <v>2072</v>
      </c>
      <c r="B456" s="3" t="s">
        <v>2071</v>
      </c>
      <c r="C456" s="3" t="s">
        <v>1435</v>
      </c>
      <c r="D456" s="3" t="s">
        <v>1286</v>
      </c>
      <c r="E456" s="3" t="s">
        <v>360</v>
      </c>
      <c r="F456" s="3" t="s">
        <v>1306</v>
      </c>
      <c r="G456" s="3" t="s">
        <v>479</v>
      </c>
      <c r="H456" s="3" t="s">
        <v>1217</v>
      </c>
      <c r="I456" s="3" t="s">
        <v>564</v>
      </c>
    </row>
    <row r="457" customFormat="false" ht="15" hidden="false" customHeight="false" outlineLevel="0" collapsed="false">
      <c r="A457" s="3" t="s">
        <v>2073</v>
      </c>
      <c r="B457" s="3" t="s">
        <v>2074</v>
      </c>
      <c r="C457" s="3" t="s">
        <v>1455</v>
      </c>
      <c r="D457" s="3" t="s">
        <v>1286</v>
      </c>
      <c r="E457" s="3" t="s">
        <v>360</v>
      </c>
      <c r="F457" s="3" t="s">
        <v>1330</v>
      </c>
      <c r="G457" s="3" t="s">
        <v>480</v>
      </c>
      <c r="H457" s="3" t="s">
        <v>1218</v>
      </c>
      <c r="I457" s="3" t="s">
        <v>564</v>
      </c>
    </row>
    <row r="458" customFormat="false" ht="15" hidden="false" customHeight="false" outlineLevel="0" collapsed="false">
      <c r="A458" s="3" t="s">
        <v>2075</v>
      </c>
      <c r="B458" s="3" t="s">
        <v>2076</v>
      </c>
      <c r="C458" s="3" t="s">
        <v>1290</v>
      </c>
      <c r="D458" s="3" t="s">
        <v>1286</v>
      </c>
      <c r="E458" s="3" t="s">
        <v>360</v>
      </c>
      <c r="F458" s="3" t="s">
        <v>1306</v>
      </c>
      <c r="G458" s="3" t="s">
        <v>480</v>
      </c>
      <c r="H458" s="3" t="s">
        <v>1218</v>
      </c>
      <c r="I458" s="3" t="s">
        <v>564</v>
      </c>
    </row>
    <row r="459" customFormat="false" ht="15" hidden="false" customHeight="false" outlineLevel="0" collapsed="false">
      <c r="A459" s="3" t="s">
        <v>2077</v>
      </c>
      <c r="B459" s="3" t="s">
        <v>2078</v>
      </c>
      <c r="C459" s="3" t="s">
        <v>1402</v>
      </c>
      <c r="D459" s="3" t="s">
        <v>1286</v>
      </c>
      <c r="E459" s="3" t="s">
        <v>360</v>
      </c>
      <c r="F459" s="3" t="s">
        <v>1335</v>
      </c>
      <c r="G459" s="3" t="s">
        <v>482</v>
      </c>
      <c r="H459" s="3" t="s">
        <v>1222</v>
      </c>
      <c r="I459" s="3" t="s">
        <v>543</v>
      </c>
    </row>
    <row r="460" customFormat="false" ht="15" hidden="false" customHeight="false" outlineLevel="0" collapsed="false">
      <c r="A460" s="3" t="s">
        <v>2079</v>
      </c>
      <c r="B460" s="3" t="s">
        <v>2078</v>
      </c>
      <c r="C460" s="3" t="s">
        <v>1402</v>
      </c>
      <c r="D460" s="3" t="s">
        <v>1286</v>
      </c>
      <c r="E460" s="3" t="s">
        <v>360</v>
      </c>
      <c r="F460" s="3" t="s">
        <v>1335</v>
      </c>
      <c r="G460" s="3" t="s">
        <v>482</v>
      </c>
      <c r="H460" s="3" t="s">
        <v>1220</v>
      </c>
      <c r="I460" s="3" t="s">
        <v>575</v>
      </c>
    </row>
    <row r="461" customFormat="false" ht="15" hidden="false" customHeight="false" outlineLevel="0" collapsed="false">
      <c r="A461" s="3" t="s">
        <v>2080</v>
      </c>
      <c r="B461" s="3" t="s">
        <v>2081</v>
      </c>
      <c r="C461" s="3" t="s">
        <v>1402</v>
      </c>
      <c r="D461" s="3" t="s">
        <v>1286</v>
      </c>
      <c r="E461" s="3" t="s">
        <v>360</v>
      </c>
      <c r="F461" s="3" t="s">
        <v>1287</v>
      </c>
      <c r="G461" s="3" t="s">
        <v>482</v>
      </c>
      <c r="H461" s="3" t="s">
        <v>1222</v>
      </c>
      <c r="I461" s="3" t="s">
        <v>543</v>
      </c>
    </row>
    <row r="462" customFormat="false" ht="15" hidden="false" customHeight="false" outlineLevel="0" collapsed="false">
      <c r="A462" s="3" t="s">
        <v>2082</v>
      </c>
      <c r="B462" s="3" t="s">
        <v>2083</v>
      </c>
      <c r="C462" s="3" t="s">
        <v>1298</v>
      </c>
      <c r="D462" s="3" t="s">
        <v>1286</v>
      </c>
      <c r="E462" s="3" t="s">
        <v>360</v>
      </c>
      <c r="F462" s="3" t="s">
        <v>1287</v>
      </c>
      <c r="G462" s="3" t="s">
        <v>482</v>
      </c>
      <c r="H462" s="3" t="s">
        <v>1220</v>
      </c>
      <c r="I462" s="3" t="s">
        <v>575</v>
      </c>
    </row>
    <row r="463" customFormat="false" ht="15" hidden="false" customHeight="false" outlineLevel="0" collapsed="false">
      <c r="A463" s="3" t="s">
        <v>2084</v>
      </c>
      <c r="B463" s="3" t="s">
        <v>2085</v>
      </c>
      <c r="C463" s="3" t="s">
        <v>1474</v>
      </c>
      <c r="D463" s="3" t="s">
        <v>1286</v>
      </c>
      <c r="E463" s="3" t="s">
        <v>360</v>
      </c>
      <c r="F463" s="3" t="s">
        <v>1306</v>
      </c>
      <c r="G463" s="3" t="s">
        <v>484</v>
      </c>
      <c r="H463" s="3" t="s">
        <v>1226</v>
      </c>
      <c r="I463" s="3" t="s">
        <v>510</v>
      </c>
    </row>
    <row r="464" customFormat="false" ht="15" hidden="false" customHeight="false" outlineLevel="0" collapsed="false">
      <c r="A464" s="3" t="s">
        <v>2086</v>
      </c>
      <c r="B464" s="3" t="s">
        <v>2087</v>
      </c>
      <c r="C464" s="3" t="s">
        <v>1327</v>
      </c>
      <c r="D464" s="3" t="s">
        <v>1286</v>
      </c>
      <c r="E464" s="3" t="s">
        <v>360</v>
      </c>
      <c r="F464" s="3" t="s">
        <v>1306</v>
      </c>
      <c r="G464" s="3" t="s">
        <v>484</v>
      </c>
      <c r="H464" s="3" t="s">
        <v>1223</v>
      </c>
      <c r="I464" s="3" t="s">
        <v>548</v>
      </c>
    </row>
    <row r="465" customFormat="false" ht="15" hidden="false" customHeight="false" outlineLevel="0" collapsed="false">
      <c r="A465" s="3" t="s">
        <v>2088</v>
      </c>
      <c r="B465" s="3" t="s">
        <v>2087</v>
      </c>
      <c r="C465" s="3" t="s">
        <v>1327</v>
      </c>
      <c r="D465" s="3" t="s">
        <v>1286</v>
      </c>
      <c r="E465" s="3" t="s">
        <v>360</v>
      </c>
      <c r="F465" s="3" t="s">
        <v>1306</v>
      </c>
      <c r="G465" s="3" t="s">
        <v>484</v>
      </c>
      <c r="H465" s="3" t="s">
        <v>1229</v>
      </c>
      <c r="I465" s="3" t="s">
        <v>535</v>
      </c>
    </row>
    <row r="466" customFormat="false" ht="15" hidden="false" customHeight="false" outlineLevel="0" collapsed="false">
      <c r="A466" s="3" t="s">
        <v>2089</v>
      </c>
      <c r="B466" s="3" t="s">
        <v>2087</v>
      </c>
      <c r="C466" s="3" t="s">
        <v>1327</v>
      </c>
      <c r="D466" s="3" t="s">
        <v>1286</v>
      </c>
      <c r="E466" s="3" t="s">
        <v>360</v>
      </c>
      <c r="F466" s="3" t="s">
        <v>1306</v>
      </c>
      <c r="G466" s="3" t="s">
        <v>484</v>
      </c>
      <c r="H466" s="3" t="s">
        <v>1226</v>
      </c>
      <c r="I466" s="3" t="s">
        <v>510</v>
      </c>
    </row>
    <row r="467" customFormat="false" ht="15" hidden="false" customHeight="false" outlineLevel="0" collapsed="false">
      <c r="A467" s="3" t="s">
        <v>2090</v>
      </c>
      <c r="B467" s="3" t="s">
        <v>2091</v>
      </c>
      <c r="C467" s="3" t="s">
        <v>1285</v>
      </c>
      <c r="D467" s="3" t="s">
        <v>1286</v>
      </c>
      <c r="E467" s="3" t="s">
        <v>360</v>
      </c>
      <c r="F467" s="3" t="s">
        <v>1287</v>
      </c>
      <c r="G467" s="3" t="s">
        <v>485</v>
      </c>
      <c r="H467" s="3" t="s">
        <v>1231</v>
      </c>
      <c r="I467" s="3" t="s">
        <v>538</v>
      </c>
    </row>
    <row r="468" customFormat="false" ht="15" hidden="false" customHeight="false" outlineLevel="0" collapsed="false">
      <c r="A468" s="3" t="s">
        <v>2092</v>
      </c>
      <c r="B468" s="3" t="s">
        <v>2093</v>
      </c>
      <c r="C468" s="3" t="s">
        <v>1302</v>
      </c>
      <c r="D468" s="3" t="s">
        <v>1286</v>
      </c>
      <c r="E468" s="3" t="s">
        <v>360</v>
      </c>
      <c r="F468" s="3" t="s">
        <v>1335</v>
      </c>
      <c r="G468" s="3" t="s">
        <v>488</v>
      </c>
      <c r="H468" s="3" t="s">
        <v>1239</v>
      </c>
      <c r="I468" s="3" t="s">
        <v>526</v>
      </c>
    </row>
    <row r="469" customFormat="false" ht="15" hidden="false" customHeight="false" outlineLevel="0" collapsed="false">
      <c r="A469" s="3" t="s">
        <v>2094</v>
      </c>
      <c r="B469" s="3" t="s">
        <v>2093</v>
      </c>
      <c r="C469" s="3" t="s">
        <v>1302</v>
      </c>
      <c r="D469" s="3" t="s">
        <v>1286</v>
      </c>
      <c r="E469" s="3" t="s">
        <v>360</v>
      </c>
      <c r="F469" s="3" t="s">
        <v>1335</v>
      </c>
      <c r="G469" s="3" t="s">
        <v>488</v>
      </c>
      <c r="H469" s="3" t="s">
        <v>1241</v>
      </c>
      <c r="I469" s="3" t="s">
        <v>529</v>
      </c>
    </row>
    <row r="470" customFormat="false" ht="15" hidden="false" customHeight="false" outlineLevel="0" collapsed="false">
      <c r="A470" s="3" t="s">
        <v>2095</v>
      </c>
      <c r="B470" s="3" t="s">
        <v>2096</v>
      </c>
      <c r="C470" s="3" t="s">
        <v>1302</v>
      </c>
      <c r="D470" s="3" t="s">
        <v>1286</v>
      </c>
      <c r="E470" s="3" t="s">
        <v>360</v>
      </c>
      <c r="F470" s="3" t="s">
        <v>1335</v>
      </c>
      <c r="G470" s="3" t="s">
        <v>490</v>
      </c>
      <c r="H470" s="3" t="s">
        <v>1243</v>
      </c>
      <c r="I470" s="3" t="s">
        <v>548</v>
      </c>
    </row>
    <row r="471" customFormat="false" ht="15" hidden="false" customHeight="false" outlineLevel="0" collapsed="false">
      <c r="A471" s="3" t="s">
        <v>2097</v>
      </c>
      <c r="B471" s="3" t="s">
        <v>2096</v>
      </c>
      <c r="C471" s="3" t="s">
        <v>1302</v>
      </c>
      <c r="D471" s="3" t="s">
        <v>1286</v>
      </c>
      <c r="E471" s="3" t="s">
        <v>360</v>
      </c>
      <c r="F471" s="3" t="s">
        <v>1335</v>
      </c>
      <c r="G471" s="3" t="s">
        <v>490</v>
      </c>
      <c r="H471" s="3" t="s">
        <v>1242</v>
      </c>
      <c r="I471" s="3" t="s">
        <v>531</v>
      </c>
    </row>
    <row r="472" customFormat="false" ht="15" hidden="false" customHeight="false" outlineLevel="0" collapsed="false">
      <c r="A472" s="3" t="s">
        <v>2098</v>
      </c>
      <c r="B472" s="3" t="s">
        <v>2099</v>
      </c>
      <c r="C472" s="3" t="s">
        <v>1364</v>
      </c>
      <c r="D472" s="3" t="s">
        <v>1286</v>
      </c>
      <c r="E472" s="3" t="s">
        <v>360</v>
      </c>
      <c r="F472" s="3" t="s">
        <v>1330</v>
      </c>
      <c r="G472" s="3" t="s">
        <v>490</v>
      </c>
      <c r="H472" s="3" t="s">
        <v>1246</v>
      </c>
      <c r="I472" s="3" t="s">
        <v>518</v>
      </c>
    </row>
    <row r="473" customFormat="false" ht="15" hidden="false" customHeight="false" outlineLevel="0" collapsed="false">
      <c r="A473" s="3" t="s">
        <v>2100</v>
      </c>
      <c r="B473" s="3" t="s">
        <v>2101</v>
      </c>
      <c r="C473" s="3" t="s">
        <v>1293</v>
      </c>
      <c r="D473" s="3" t="s">
        <v>1286</v>
      </c>
      <c r="E473" s="3" t="s">
        <v>360</v>
      </c>
      <c r="F473" s="3" t="s">
        <v>1335</v>
      </c>
      <c r="G473" s="3" t="s">
        <v>490</v>
      </c>
      <c r="H473" s="3" t="s">
        <v>1245</v>
      </c>
      <c r="I473" s="3" t="s">
        <v>516</v>
      </c>
    </row>
    <row r="474" customFormat="false" ht="15" hidden="false" customHeight="false" outlineLevel="0" collapsed="false">
      <c r="A474" s="3" t="s">
        <v>2102</v>
      </c>
      <c r="B474" s="3" t="s">
        <v>2103</v>
      </c>
      <c r="C474" s="3" t="s">
        <v>1587</v>
      </c>
      <c r="D474" s="3" t="s">
        <v>1286</v>
      </c>
      <c r="E474" s="3" t="s">
        <v>360</v>
      </c>
      <c r="F474" s="3" t="s">
        <v>1306</v>
      </c>
      <c r="G474" s="3" t="s">
        <v>492</v>
      </c>
      <c r="H474" s="3" t="s">
        <v>1247</v>
      </c>
      <c r="I474" s="3" t="s">
        <v>540</v>
      </c>
    </row>
    <row r="475" customFormat="false" ht="15" hidden="false" customHeight="false" outlineLevel="0" collapsed="false">
      <c r="A475" s="3" t="s">
        <v>2104</v>
      </c>
      <c r="B475" s="3" t="s">
        <v>2105</v>
      </c>
      <c r="C475" s="3" t="s">
        <v>1532</v>
      </c>
      <c r="D475" s="3" t="s">
        <v>1286</v>
      </c>
      <c r="E475" s="3" t="s">
        <v>360</v>
      </c>
      <c r="F475" s="3" t="s">
        <v>1282</v>
      </c>
      <c r="G475" s="3" t="s">
        <v>493</v>
      </c>
      <c r="H475" s="3" t="s">
        <v>1255</v>
      </c>
      <c r="I475" s="3" t="s">
        <v>522</v>
      </c>
    </row>
    <row r="476" customFormat="false" ht="15" hidden="false" customHeight="false" outlineLevel="0" collapsed="false">
      <c r="A476" s="3" t="s">
        <v>2106</v>
      </c>
      <c r="B476" s="3" t="s">
        <v>2105</v>
      </c>
      <c r="C476" s="3" t="s">
        <v>1532</v>
      </c>
      <c r="D476" s="3" t="s">
        <v>1286</v>
      </c>
      <c r="E476" s="3" t="s">
        <v>360</v>
      </c>
      <c r="F476" s="3" t="s">
        <v>1282</v>
      </c>
      <c r="G476" s="3" t="s">
        <v>493</v>
      </c>
      <c r="H476" s="3" t="s">
        <v>1256</v>
      </c>
      <c r="I476" s="3" t="s">
        <v>538</v>
      </c>
    </row>
    <row r="477" customFormat="false" ht="15" hidden="false" customHeight="false" outlineLevel="0" collapsed="false">
      <c r="A477" s="3" t="s">
        <v>2107</v>
      </c>
      <c r="B477" s="3" t="s">
        <v>2108</v>
      </c>
      <c r="C477" s="3" t="s">
        <v>1455</v>
      </c>
      <c r="D477" s="3" t="s">
        <v>1281</v>
      </c>
      <c r="E477" s="3" t="s">
        <v>360</v>
      </c>
      <c r="F477" s="3" t="s">
        <v>1282</v>
      </c>
      <c r="G477" s="3" t="s">
        <v>493</v>
      </c>
      <c r="H477" s="3" t="s">
        <v>1251</v>
      </c>
      <c r="I477" s="3" t="s">
        <v>526</v>
      </c>
    </row>
    <row r="478" customFormat="false" ht="15" hidden="false" customHeight="false" outlineLevel="0" collapsed="false">
      <c r="A478" s="3" t="s">
        <v>2109</v>
      </c>
      <c r="B478" s="3" t="s">
        <v>2108</v>
      </c>
      <c r="C478" s="3" t="s">
        <v>1455</v>
      </c>
      <c r="D478" s="3" t="s">
        <v>1281</v>
      </c>
      <c r="E478" s="3" t="s">
        <v>360</v>
      </c>
      <c r="F478" s="3" t="s">
        <v>1282</v>
      </c>
      <c r="G478" s="3" t="s">
        <v>493</v>
      </c>
      <c r="H478" s="3" t="s">
        <v>1254</v>
      </c>
      <c r="I478" s="3" t="s">
        <v>516</v>
      </c>
    </row>
    <row r="479" customFormat="false" ht="15" hidden="false" customHeight="false" outlineLevel="0" collapsed="false">
      <c r="A479" s="3" t="s">
        <v>2110</v>
      </c>
      <c r="B479" s="3" t="s">
        <v>2108</v>
      </c>
      <c r="C479" s="3" t="s">
        <v>1455</v>
      </c>
      <c r="D479" s="3" t="s">
        <v>1281</v>
      </c>
      <c r="E479" s="3" t="s">
        <v>360</v>
      </c>
      <c r="F479" s="3" t="s">
        <v>1282</v>
      </c>
      <c r="G479" s="3" t="s">
        <v>493</v>
      </c>
      <c r="H479" s="3" t="s">
        <v>1255</v>
      </c>
      <c r="I479" s="3" t="s">
        <v>522</v>
      </c>
    </row>
    <row r="480" customFormat="false" ht="15" hidden="false" customHeight="false" outlineLevel="0" collapsed="false">
      <c r="A480" s="3" t="s">
        <v>2111</v>
      </c>
      <c r="B480" s="3" t="s">
        <v>2112</v>
      </c>
      <c r="C480" s="3" t="s">
        <v>1488</v>
      </c>
      <c r="D480" s="3" t="s">
        <v>1286</v>
      </c>
      <c r="E480" s="3" t="s">
        <v>360</v>
      </c>
      <c r="F480" s="3" t="s">
        <v>1306</v>
      </c>
      <c r="G480" s="3" t="s">
        <v>493</v>
      </c>
      <c r="H480" s="3" t="s">
        <v>1253</v>
      </c>
      <c r="I480" s="3" t="s">
        <v>575</v>
      </c>
    </row>
    <row r="481" customFormat="false" ht="15" hidden="false" customHeight="false" outlineLevel="0" collapsed="false">
      <c r="A481" s="3" t="s">
        <v>2113</v>
      </c>
      <c r="B481" s="3" t="s">
        <v>2112</v>
      </c>
      <c r="C481" s="3" t="s">
        <v>1488</v>
      </c>
      <c r="D481" s="3" t="s">
        <v>1286</v>
      </c>
      <c r="E481" s="3" t="s">
        <v>360</v>
      </c>
      <c r="F481" s="3" t="s">
        <v>1306</v>
      </c>
      <c r="G481" s="3" t="s">
        <v>493</v>
      </c>
      <c r="H481" s="3" t="s">
        <v>1251</v>
      </c>
      <c r="I481" s="3" t="s">
        <v>526</v>
      </c>
    </row>
    <row r="482" customFormat="false" ht="15" hidden="false" customHeight="false" outlineLevel="0" collapsed="false">
      <c r="A482" s="3" t="s">
        <v>2114</v>
      </c>
      <c r="B482" s="3" t="s">
        <v>2115</v>
      </c>
      <c r="C482" s="3" t="s">
        <v>1305</v>
      </c>
      <c r="D482" s="3" t="s">
        <v>1286</v>
      </c>
      <c r="E482" s="3" t="s">
        <v>360</v>
      </c>
      <c r="F482" s="3" t="s">
        <v>1282</v>
      </c>
      <c r="G482" s="3" t="s">
        <v>495</v>
      </c>
      <c r="H482" s="3" t="s">
        <v>1257</v>
      </c>
      <c r="I482" s="3" t="s">
        <v>524</v>
      </c>
    </row>
    <row r="483" customFormat="false" ht="15" hidden="false" customHeight="false" outlineLevel="0" collapsed="false">
      <c r="A483" s="3" t="s">
        <v>2116</v>
      </c>
      <c r="B483" s="3" t="s">
        <v>2117</v>
      </c>
      <c r="C483" s="3" t="s">
        <v>1364</v>
      </c>
      <c r="D483" s="3" t="s">
        <v>1286</v>
      </c>
      <c r="E483" s="3" t="s">
        <v>360</v>
      </c>
      <c r="F483" s="3" t="s">
        <v>1282</v>
      </c>
      <c r="G483" s="3" t="s">
        <v>495</v>
      </c>
      <c r="H483" s="3" t="s">
        <v>1257</v>
      </c>
      <c r="I483" s="3" t="s">
        <v>524</v>
      </c>
    </row>
    <row r="484" customFormat="false" ht="15" hidden="false" customHeight="false" outlineLevel="0" collapsed="false">
      <c r="A484" s="3" t="s">
        <v>2118</v>
      </c>
      <c r="B484" s="3" t="s">
        <v>2119</v>
      </c>
      <c r="C484" s="3" t="s">
        <v>1310</v>
      </c>
      <c r="D484" s="3" t="s">
        <v>1286</v>
      </c>
      <c r="E484" s="3" t="s">
        <v>360</v>
      </c>
      <c r="F484" s="3" t="s">
        <v>1306</v>
      </c>
      <c r="G484" s="3" t="s">
        <v>496</v>
      </c>
      <c r="H484" s="3" t="s">
        <v>1259</v>
      </c>
      <c r="I484" s="3" t="s">
        <v>564</v>
      </c>
    </row>
    <row r="485" customFormat="false" ht="15" hidden="false" customHeight="false" outlineLevel="0" collapsed="false">
      <c r="A485" s="3" t="s">
        <v>2120</v>
      </c>
      <c r="B485" s="3" t="s">
        <v>2119</v>
      </c>
      <c r="C485" s="3" t="s">
        <v>1310</v>
      </c>
      <c r="D485" s="3" t="s">
        <v>1286</v>
      </c>
      <c r="E485" s="3" t="s">
        <v>360</v>
      </c>
      <c r="F485" s="3" t="s">
        <v>1306</v>
      </c>
      <c r="G485" s="3" t="s">
        <v>496</v>
      </c>
      <c r="H485" s="3" t="s">
        <v>1258</v>
      </c>
      <c r="I485" s="3" t="s">
        <v>518</v>
      </c>
    </row>
    <row r="486" customFormat="false" ht="15" hidden="false" customHeight="false" outlineLevel="0" collapsed="false">
      <c r="A486" s="3" t="s">
        <v>2121</v>
      </c>
      <c r="B486" s="3" t="s">
        <v>2122</v>
      </c>
      <c r="C486" s="3" t="s">
        <v>1293</v>
      </c>
      <c r="D486" s="3" t="s">
        <v>1286</v>
      </c>
      <c r="E486" s="3" t="s">
        <v>360</v>
      </c>
      <c r="F486" s="3" t="s">
        <v>1282</v>
      </c>
      <c r="G486" s="3" t="s">
        <v>496</v>
      </c>
      <c r="H486" s="3" t="s">
        <v>1258</v>
      </c>
      <c r="I486" s="3" t="s">
        <v>518</v>
      </c>
    </row>
    <row r="487" customFormat="false" ht="15" hidden="false" customHeight="false" outlineLevel="0" collapsed="false">
      <c r="A487" s="3" t="s">
        <v>2123</v>
      </c>
      <c r="B487" s="3" t="s">
        <v>2122</v>
      </c>
      <c r="C487" s="3" t="s">
        <v>1293</v>
      </c>
      <c r="D487" s="3" t="s">
        <v>1286</v>
      </c>
      <c r="E487" s="3" t="s">
        <v>360</v>
      </c>
      <c r="F487" s="3" t="s">
        <v>1282</v>
      </c>
      <c r="G487" s="3" t="s">
        <v>496</v>
      </c>
      <c r="H487" s="3" t="s">
        <v>1259</v>
      </c>
      <c r="I487" s="3" t="s">
        <v>564</v>
      </c>
    </row>
    <row r="488" customFormat="false" ht="15" hidden="false" customHeight="false" outlineLevel="0" collapsed="false">
      <c r="A488" s="3" t="s">
        <v>2124</v>
      </c>
      <c r="B488" s="3" t="s">
        <v>2125</v>
      </c>
      <c r="C488" s="3" t="s">
        <v>1293</v>
      </c>
      <c r="D488" s="3" t="s">
        <v>1281</v>
      </c>
      <c r="E488" s="3" t="s">
        <v>360</v>
      </c>
      <c r="F488" s="3" t="s">
        <v>1335</v>
      </c>
      <c r="G488" s="3" t="s">
        <v>496</v>
      </c>
      <c r="H488" s="3" t="s">
        <v>1258</v>
      </c>
      <c r="I488" s="3" t="s">
        <v>518</v>
      </c>
    </row>
    <row r="489" customFormat="false" ht="15" hidden="false" customHeight="false" outlineLevel="0" collapsed="false">
      <c r="A489" s="3" t="s">
        <v>2126</v>
      </c>
      <c r="B489" s="3" t="s">
        <v>2125</v>
      </c>
      <c r="C489" s="3" t="s">
        <v>1293</v>
      </c>
      <c r="D489" s="3" t="s">
        <v>1281</v>
      </c>
      <c r="E489" s="3" t="s">
        <v>360</v>
      </c>
      <c r="F489" s="3" t="s">
        <v>1335</v>
      </c>
      <c r="G489" s="3" t="s">
        <v>496</v>
      </c>
      <c r="H489" s="3" t="s">
        <v>1259</v>
      </c>
      <c r="I489" s="3" t="s">
        <v>564</v>
      </c>
    </row>
    <row r="490" customFormat="false" ht="15" hidden="false" customHeight="false" outlineLevel="0" collapsed="false">
      <c r="A490" s="3" t="s">
        <v>2127</v>
      </c>
      <c r="B490" s="3" t="s">
        <v>2128</v>
      </c>
      <c r="C490" s="3" t="s">
        <v>1314</v>
      </c>
      <c r="D490" s="3" t="s">
        <v>1286</v>
      </c>
      <c r="E490" s="3" t="s">
        <v>360</v>
      </c>
      <c r="F490" s="3" t="s">
        <v>1287</v>
      </c>
      <c r="G490" s="3" t="s">
        <v>498</v>
      </c>
      <c r="H490" s="3" t="s">
        <v>1260</v>
      </c>
      <c r="I490" s="3" t="s">
        <v>510</v>
      </c>
    </row>
    <row r="491" customFormat="false" ht="15" hidden="false" customHeight="false" outlineLevel="0" collapsed="false">
      <c r="A491" s="3" t="s">
        <v>2129</v>
      </c>
      <c r="B491" s="3" t="s">
        <v>2130</v>
      </c>
      <c r="C491" s="3" t="s">
        <v>1327</v>
      </c>
      <c r="D491" s="3" t="s">
        <v>1286</v>
      </c>
      <c r="E491" s="3" t="s">
        <v>360</v>
      </c>
      <c r="F491" s="3" t="s">
        <v>1335</v>
      </c>
      <c r="G491" s="3" t="s">
        <v>498</v>
      </c>
      <c r="H491" s="3" t="s">
        <v>1260</v>
      </c>
      <c r="I491" s="3" t="s">
        <v>510</v>
      </c>
    </row>
    <row r="492" customFormat="false" ht="15" hidden="false" customHeight="false" outlineLevel="0" collapsed="false">
      <c r="A492" s="3" t="s">
        <v>2131</v>
      </c>
      <c r="B492" s="3" t="s">
        <v>2132</v>
      </c>
      <c r="C492" s="3" t="s">
        <v>1532</v>
      </c>
      <c r="D492" s="3" t="s">
        <v>1286</v>
      </c>
      <c r="E492" s="3" t="s">
        <v>360</v>
      </c>
      <c r="F492" s="3" t="s">
        <v>1306</v>
      </c>
      <c r="G492" s="3" t="s">
        <v>499</v>
      </c>
      <c r="H492" s="3" t="s">
        <v>1263</v>
      </c>
      <c r="I492" s="3" t="s">
        <v>529</v>
      </c>
    </row>
    <row r="493" customFormat="false" ht="15" hidden="false" customHeight="false" outlineLevel="0" collapsed="false">
      <c r="A493" s="3" t="s">
        <v>2133</v>
      </c>
      <c r="B493" s="3" t="s">
        <v>2134</v>
      </c>
      <c r="C493" s="3" t="s">
        <v>1455</v>
      </c>
      <c r="D493" s="3" t="s">
        <v>1286</v>
      </c>
      <c r="E493" s="3" t="s">
        <v>360</v>
      </c>
      <c r="F493" s="3" t="s">
        <v>1282</v>
      </c>
      <c r="G493" s="3" t="s">
        <v>499</v>
      </c>
      <c r="H493" s="3" t="s">
        <v>1262</v>
      </c>
      <c r="I493" s="3" t="s">
        <v>552</v>
      </c>
    </row>
    <row r="494" customFormat="false" ht="15" hidden="false" customHeight="false" outlineLevel="0" collapsed="false">
      <c r="A494" s="3" t="s">
        <v>2135</v>
      </c>
      <c r="B494" s="3" t="s">
        <v>2134</v>
      </c>
      <c r="C494" s="3" t="s">
        <v>1455</v>
      </c>
      <c r="D494" s="3" t="s">
        <v>1286</v>
      </c>
      <c r="E494" s="3" t="s">
        <v>360</v>
      </c>
      <c r="F494" s="3" t="s">
        <v>1282</v>
      </c>
      <c r="G494" s="3" t="s">
        <v>499</v>
      </c>
      <c r="H494" s="3" t="s">
        <v>1263</v>
      </c>
      <c r="I494" s="3" t="s">
        <v>529</v>
      </c>
    </row>
    <row r="495" customFormat="false" ht="15" hidden="false" customHeight="false" outlineLevel="0" collapsed="false">
      <c r="A495" s="3" t="s">
        <v>2136</v>
      </c>
      <c r="B495" s="3" t="s">
        <v>2137</v>
      </c>
      <c r="C495" s="3" t="s">
        <v>1435</v>
      </c>
      <c r="D495" s="3" t="s">
        <v>1286</v>
      </c>
      <c r="E495" s="3" t="s">
        <v>360</v>
      </c>
      <c r="F495" s="3" t="s">
        <v>1282</v>
      </c>
      <c r="G495" s="3" t="s">
        <v>502</v>
      </c>
      <c r="H495" s="3" t="s">
        <v>1271</v>
      </c>
      <c r="I495" s="3" t="s">
        <v>552</v>
      </c>
    </row>
    <row r="496" customFormat="false" ht="15" hidden="false" customHeight="false" outlineLevel="0" collapsed="false">
      <c r="A496" s="3" t="s">
        <v>2138</v>
      </c>
      <c r="B496" s="3" t="s">
        <v>2139</v>
      </c>
      <c r="C496" s="3" t="s">
        <v>1431</v>
      </c>
      <c r="D496" s="3" t="s">
        <v>1286</v>
      </c>
      <c r="E496" s="3" t="s">
        <v>360</v>
      </c>
      <c r="F496" s="3" t="s">
        <v>1335</v>
      </c>
      <c r="G496" s="3" t="s">
        <v>502</v>
      </c>
      <c r="H496" s="3" t="s">
        <v>1270</v>
      </c>
      <c r="I496" s="3" t="s">
        <v>564</v>
      </c>
    </row>
    <row r="497" customFormat="false" ht="15" hidden="false" customHeight="false" outlineLevel="0" collapsed="false">
      <c r="A497" s="3" t="s">
        <v>2140</v>
      </c>
      <c r="B497" s="3" t="s">
        <v>2139</v>
      </c>
      <c r="C497" s="3" t="s">
        <v>1431</v>
      </c>
      <c r="D497" s="3" t="s">
        <v>1286</v>
      </c>
      <c r="E497" s="3" t="s">
        <v>360</v>
      </c>
      <c r="F497" s="3" t="s">
        <v>1335</v>
      </c>
      <c r="G497" s="3" t="s">
        <v>502</v>
      </c>
      <c r="H497" s="3" t="s">
        <v>1268</v>
      </c>
      <c r="I497" s="3" t="s">
        <v>531</v>
      </c>
    </row>
    <row r="498" customFormat="false" ht="15" hidden="false" customHeight="false" outlineLevel="0" collapsed="false">
      <c r="A498" s="3" t="s">
        <v>2141</v>
      </c>
      <c r="B498" s="3" t="s">
        <v>2139</v>
      </c>
      <c r="C498" s="3" t="s">
        <v>1431</v>
      </c>
      <c r="D498" s="3" t="s">
        <v>1286</v>
      </c>
      <c r="E498" s="3" t="s">
        <v>360</v>
      </c>
      <c r="F498" s="3" t="s">
        <v>1335</v>
      </c>
      <c r="G498" s="3" t="s">
        <v>502</v>
      </c>
      <c r="H498" s="3" t="s">
        <v>1271</v>
      </c>
      <c r="I498" s="3" t="s">
        <v>552</v>
      </c>
    </row>
    <row r="499" customFormat="false" ht="15" hidden="false" customHeight="false" outlineLevel="0" collapsed="false">
      <c r="A499" s="3" t="s">
        <v>2142</v>
      </c>
      <c r="B499" s="3" t="s">
        <v>2143</v>
      </c>
      <c r="C499" s="3" t="s">
        <v>1587</v>
      </c>
      <c r="D499" s="3" t="s">
        <v>1286</v>
      </c>
      <c r="E499" s="3" t="s">
        <v>360</v>
      </c>
      <c r="F499" s="3" t="s">
        <v>1306</v>
      </c>
      <c r="G499" s="3" t="s">
        <v>502</v>
      </c>
      <c r="H499" s="3" t="s">
        <v>1269</v>
      </c>
      <c r="I499" s="3" t="s">
        <v>535</v>
      </c>
    </row>
    <row r="500" customFormat="false" ht="15" hidden="false" customHeight="false" outlineLevel="0" collapsed="false">
      <c r="A500" s="3" t="s">
        <v>2144</v>
      </c>
      <c r="B500" s="3" t="s">
        <v>2143</v>
      </c>
      <c r="C500" s="3" t="s">
        <v>1587</v>
      </c>
      <c r="D500" s="3" t="s">
        <v>1286</v>
      </c>
      <c r="E500" s="3" t="s">
        <v>360</v>
      </c>
      <c r="F500" s="3" t="s">
        <v>1306</v>
      </c>
      <c r="G500" s="3" t="s">
        <v>502</v>
      </c>
      <c r="H500" s="3" t="s">
        <v>1270</v>
      </c>
      <c r="I500" s="3" t="s">
        <v>564</v>
      </c>
    </row>
    <row r="501" customFormat="false" ht="15" hidden="false" customHeight="false" outlineLevel="0" collapsed="false">
      <c r="A501" s="3" t="s">
        <v>2145</v>
      </c>
      <c r="B501" s="3" t="s">
        <v>2143</v>
      </c>
      <c r="C501" s="3" t="s">
        <v>1587</v>
      </c>
      <c r="D501" s="3" t="s">
        <v>1286</v>
      </c>
      <c r="E501" s="3" t="s">
        <v>360</v>
      </c>
      <c r="F501" s="3" t="s">
        <v>1306</v>
      </c>
      <c r="G501" s="3" t="s">
        <v>502</v>
      </c>
      <c r="H501" s="3" t="s">
        <v>1268</v>
      </c>
      <c r="I501" s="3" t="s">
        <v>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4"/>
  </cols>
  <sheetData>
    <row r="1" customFormat="false" ht="17.35" hidden="false" customHeight="false" outlineLevel="0" collapsed="false">
      <c r="A1" s="7" t="s">
        <v>2146</v>
      </c>
    </row>
    <row r="3" customFormat="false" ht="15" hidden="false" customHeight="false" outlineLevel="0" collapsed="false">
      <c r="A3" s="8" t="s">
        <v>2147</v>
      </c>
    </row>
    <row r="4" customFormat="false" ht="15" hidden="false" customHeight="false" outlineLevel="0" collapsed="false">
      <c r="A4" s="9" t="s">
        <v>2148</v>
      </c>
      <c r="B4" s="9" t="s">
        <v>2149</v>
      </c>
      <c r="C4" s="9" t="s">
        <v>2150</v>
      </c>
      <c r="D4" s="9" t="s">
        <v>2151</v>
      </c>
      <c r="E4" s="9" t="s">
        <v>2152</v>
      </c>
    </row>
    <row r="5" customFormat="false" ht="15" hidden="false" customHeight="false" outlineLevel="0" collapsed="false">
      <c r="A5" s="3" t="s">
        <v>1</v>
      </c>
      <c r="B5" s="3" t="n">
        <f aca="false">COUNTBLANK(Materials!$B$2:$B$221)</f>
        <v>3</v>
      </c>
      <c r="C5" s="3" t="n">
        <f aca="false">COUNTIF(Materials!$B$2:$B$221,"TBD")+COUNTIF(Materials!$B$2:$B$221,"n/a")</f>
        <v>0</v>
      </c>
      <c r="D5" s="3" t="n">
        <f aca="false">B5+C5</f>
        <v>3</v>
      </c>
      <c r="E5" s="10" t="n">
        <f aca="false">D5/$B$16</f>
        <v>0.0136363636363636</v>
      </c>
    </row>
    <row r="6" customFormat="false" ht="15" hidden="false" customHeight="false" outlineLevel="0" collapsed="false">
      <c r="A6" s="3" t="s">
        <v>6</v>
      </c>
      <c r="B6" s="3" t="n">
        <f aca="false">COUNTBLANK(Materials!$G$2:$G$221)</f>
        <v>7</v>
      </c>
      <c r="C6" s="3" t="n">
        <f aca="false">COUNTIF(Materials!$G$2:$G$221,"TBD")+COUNTIF(Materials!$G$2:$G$221,"n/a")</f>
        <v>0</v>
      </c>
      <c r="D6" s="3" t="n">
        <f aca="false">B6+C6</f>
        <v>7</v>
      </c>
      <c r="E6" s="10" t="n">
        <f aca="false">D6/$B$16</f>
        <v>0.0318181818181818</v>
      </c>
    </row>
    <row r="7" customFormat="false" ht="15" hidden="false" customHeight="false" outlineLevel="0" collapsed="false">
      <c r="A7" s="3" t="s">
        <v>7</v>
      </c>
      <c r="B7" s="3" t="n">
        <f aca="false">COUNTBLANK(Materials!$H$2:$H$221)</f>
        <v>24</v>
      </c>
      <c r="C7" s="3" t="n">
        <f aca="false">COUNTIF(Materials!$H$2:$H$221,"TBD")+COUNTIF(Materials!$H$2:$H$221,"n/a")</f>
        <v>0</v>
      </c>
      <c r="D7" s="3" t="n">
        <f aca="false">B7+C7</f>
        <v>24</v>
      </c>
      <c r="E7" s="10" t="n">
        <f aca="false">D7/$B$16</f>
        <v>0.109090909090909</v>
      </c>
    </row>
    <row r="8" customFormat="false" ht="15" hidden="false" customHeight="false" outlineLevel="0" collapsed="false">
      <c r="A8" s="3" t="s">
        <v>8</v>
      </c>
      <c r="B8" s="3" t="n">
        <f aca="false">COUNTBLANK(Materials!$I$2:$I$221)</f>
        <v>20</v>
      </c>
      <c r="C8" s="3" t="n">
        <f aca="false">COUNTIF(Materials!$I$2:$I$221,"TBD")+COUNTIF(Materials!$I$2:$I$221,"n/a")</f>
        <v>0</v>
      </c>
      <c r="D8" s="3" t="n">
        <f aca="false">B8+C8</f>
        <v>20</v>
      </c>
      <c r="E8" s="10" t="n">
        <f aca="false">D8/$B$16</f>
        <v>0.0909090909090909</v>
      </c>
    </row>
    <row r="9" customFormat="false" ht="15" hidden="false" customHeight="false" outlineLevel="0" collapsed="false">
      <c r="A9" s="3" t="s">
        <v>9</v>
      </c>
      <c r="B9" s="3" t="n">
        <f aca="false">COUNTBLANK(Materials!$J$2:$J$221)</f>
        <v>37</v>
      </c>
      <c r="C9" s="3" t="n">
        <f aca="false">COUNTIF(Materials!$J$2:$J$221,"TBD")+COUNTIF(Materials!$J$2:$J$221,"n/a")</f>
        <v>24</v>
      </c>
      <c r="D9" s="3" t="n">
        <f aca="false">B9+C9</f>
        <v>61</v>
      </c>
      <c r="E9" s="10" t="n">
        <f aca="false">D9/$B$16</f>
        <v>0.277272727272727</v>
      </c>
    </row>
    <row r="10" customFormat="false" ht="15" hidden="false" customHeight="false" outlineLevel="0" collapsed="false">
      <c r="A10" s="3" t="s">
        <v>11</v>
      </c>
      <c r="B10" s="3" t="n">
        <f aca="false">COUNTBLANK(Materials!$L$2:$L$221)</f>
        <v>6</v>
      </c>
      <c r="C10" s="3" t="n">
        <f aca="false">COUNTIF(Materials!$L$2:$L$221,"TBD")+COUNTIF(Materials!$L$2:$L$221,"n/a")</f>
        <v>0</v>
      </c>
      <c r="D10" s="3" t="n">
        <f aca="false">B10+C10</f>
        <v>6</v>
      </c>
      <c r="E10" s="10" t="n">
        <f aca="false">D10/$B$16</f>
        <v>0.0272727272727273</v>
      </c>
    </row>
    <row r="11" customFormat="false" ht="15" hidden="false" customHeight="false" outlineLevel="0" collapsed="false">
      <c r="A11" s="3" t="s">
        <v>12</v>
      </c>
      <c r="B11" s="3" t="n">
        <f aca="false">COUNTBLANK(Materials!$M$2:$M$221)</f>
        <v>20</v>
      </c>
      <c r="C11" s="3" t="n">
        <f aca="false">COUNTIF(Materials!$M$2:$M$221,"TBD")+COUNTIF(Materials!$M$2:$M$221,"n/a")</f>
        <v>15</v>
      </c>
      <c r="D11" s="3" t="n">
        <f aca="false">B11+C11</f>
        <v>35</v>
      </c>
      <c r="E11" s="10" t="n">
        <f aca="false">D11/$B$16</f>
        <v>0.159090909090909</v>
      </c>
    </row>
    <row r="12" customFormat="false" ht="15" hidden="false" customHeight="false" outlineLevel="0" collapsed="false">
      <c r="A12" s="3" t="s">
        <v>13</v>
      </c>
      <c r="B12" s="3" t="n">
        <f aca="false">COUNTBLANK(Materials!$N$2:$N$221)</f>
        <v>33</v>
      </c>
      <c r="C12" s="3" t="n">
        <f aca="false">COUNTIF(Materials!$N$2:$N$221,"TBD")+COUNTIF(Materials!$N$2:$N$221,"n/a")</f>
        <v>18</v>
      </c>
      <c r="D12" s="3" t="n">
        <f aca="false">B12+C12</f>
        <v>51</v>
      </c>
      <c r="E12" s="10" t="n">
        <f aca="false">D12/$B$16</f>
        <v>0.231818181818182</v>
      </c>
    </row>
    <row r="13" customFormat="false" ht="15" hidden="false" customHeight="false" outlineLevel="0" collapsed="false">
      <c r="A13" s="3" t="s">
        <v>14</v>
      </c>
      <c r="B13" s="3" t="n">
        <f aca="false">COUNTBLANK(Materials!$O$2:$O$221)</f>
        <v>12</v>
      </c>
      <c r="C13" s="3" t="n">
        <f aca="false">COUNTIF(Materials!$O$2:$O$221,"TBD")+COUNTIF(Materials!$O$2:$O$221,"n/a")</f>
        <v>0</v>
      </c>
      <c r="D13" s="3" t="n">
        <f aca="false">B13+C13</f>
        <v>12</v>
      </c>
      <c r="E13" s="10" t="n">
        <f aca="false">D13/$B$16</f>
        <v>0.0545454545454545</v>
      </c>
    </row>
    <row r="14" customFormat="false" ht="15" hidden="false" customHeight="false" outlineLevel="0" collapsed="false">
      <c r="A14" s="3" t="s">
        <v>15</v>
      </c>
      <c r="B14" s="3" t="n">
        <f aca="false">COUNTBLANK(Materials!$P$2:$P$221)</f>
        <v>50</v>
      </c>
      <c r="C14" s="3" t="n">
        <f aca="false">COUNTIF(Materials!$P$2:$P$221,"TBD")+COUNTIF(Materials!$P$2:$P$221,"n/a")</f>
        <v>0</v>
      </c>
      <c r="D14" s="3" t="n">
        <f aca="false">B14+C14</f>
        <v>50</v>
      </c>
      <c r="E14" s="10" t="n">
        <f aca="false">D14/$B$16</f>
        <v>0.227272727272727</v>
      </c>
    </row>
    <row r="16" customFormat="false" ht="15" hidden="false" customHeight="false" outlineLevel="0" collapsed="false">
      <c r="A16" s="11" t="s">
        <v>2153</v>
      </c>
      <c r="B16" s="11" t="n">
        <f aca="false">COUNTA(Materials!$A$2:$A$221)</f>
        <v>220</v>
      </c>
    </row>
    <row r="19" customFormat="false" ht="15" hidden="false" customHeight="false" outlineLevel="0" collapsed="false">
      <c r="A19" s="8" t="s">
        <v>2154</v>
      </c>
    </row>
    <row r="20" customFormat="false" ht="15" hidden="false" customHeight="false" outlineLevel="0" collapsed="false">
      <c r="A20" s="9" t="s">
        <v>2155</v>
      </c>
      <c r="B20" s="9" t="s">
        <v>24</v>
      </c>
      <c r="C20" s="9" t="s">
        <v>272</v>
      </c>
      <c r="D20" s="9" t="s">
        <v>360</v>
      </c>
      <c r="E20" s="9" t="s">
        <v>2156</v>
      </c>
    </row>
    <row r="21" customFormat="false" ht="15" hidden="false" customHeight="false" outlineLevel="0" collapsed="false">
      <c r="A21" s="3" t="s">
        <v>1330</v>
      </c>
      <c r="B21" s="3" t="n">
        <f aca="false">COUNTIFS('Styles &amp; SKUs'!$F$2:$F$501,$A21,'Styles &amp; SKUs'!$E$2:$E$501,B$20)</f>
        <v>15</v>
      </c>
      <c r="C21" s="3" t="n">
        <f aca="false">COUNTIFS('Styles &amp; SKUs'!$F$2:$F$501,$A21,'Styles &amp; SKUs'!$E$2:$E$501,C$20)</f>
        <v>25</v>
      </c>
      <c r="D21" s="3" t="n">
        <f aca="false">COUNTIFS('Styles &amp; SKUs'!$F$2:$F$501,$A21,'Styles &amp; SKUs'!$E$2:$E$501,D$20)</f>
        <v>41</v>
      </c>
      <c r="E21" s="11" t="n">
        <f aca="false">SUM(B21:D21)</f>
        <v>81</v>
      </c>
    </row>
    <row r="22" customFormat="false" ht="15" hidden="false" customHeight="false" outlineLevel="0" collapsed="false">
      <c r="A22" s="3" t="s">
        <v>1306</v>
      </c>
      <c r="B22" s="3" t="n">
        <f aca="false">COUNTIFS('Styles &amp; SKUs'!$F$2:$F$501,$A22,'Styles &amp; SKUs'!$E$2:$E$501,B$20)</f>
        <v>41</v>
      </c>
      <c r="C22" s="3" t="n">
        <f aca="false">COUNTIFS('Styles &amp; SKUs'!$F$2:$F$501,$A22,'Styles &amp; SKUs'!$E$2:$E$501,C$20)</f>
        <v>28</v>
      </c>
      <c r="D22" s="3" t="n">
        <f aca="false">COUNTIFS('Styles &amp; SKUs'!$F$2:$F$501,$A22,'Styles &amp; SKUs'!$E$2:$E$501,D$20)</f>
        <v>67</v>
      </c>
      <c r="E22" s="11" t="n">
        <f aca="false">SUM(B22:D22)</f>
        <v>136</v>
      </c>
    </row>
    <row r="23" customFormat="false" ht="15" hidden="false" customHeight="false" outlineLevel="0" collapsed="false">
      <c r="A23" s="3" t="s">
        <v>1282</v>
      </c>
      <c r="B23" s="3" t="n">
        <f aca="false">COUNTIFS('Styles &amp; SKUs'!$F$2:$F$501,$A23,'Styles &amp; SKUs'!$E$2:$E$501,B$20)</f>
        <v>38</v>
      </c>
      <c r="C23" s="3" t="n">
        <f aca="false">COUNTIFS('Styles &amp; SKUs'!$F$2:$F$501,$A23,'Styles &amp; SKUs'!$E$2:$E$501,C$20)</f>
        <v>51</v>
      </c>
      <c r="D23" s="3" t="n">
        <f aca="false">COUNTIFS('Styles &amp; SKUs'!$F$2:$F$501,$A23,'Styles &amp; SKUs'!$E$2:$E$501,D$20)</f>
        <v>67</v>
      </c>
      <c r="E23" s="11" t="n">
        <f aca="false">SUM(B23:D23)</f>
        <v>156</v>
      </c>
    </row>
    <row r="24" customFormat="false" ht="15" hidden="false" customHeight="false" outlineLevel="0" collapsed="false">
      <c r="A24" s="3" t="s">
        <v>1287</v>
      </c>
      <c r="B24" s="3" t="n">
        <f aca="false">COUNTIFS('Styles &amp; SKUs'!$F$2:$F$501,$A24,'Styles &amp; SKUs'!$E$2:$E$501,B$20)</f>
        <v>12</v>
      </c>
      <c r="C24" s="3" t="n">
        <f aca="false">COUNTIFS('Styles &amp; SKUs'!$F$2:$F$501,$A24,'Styles &amp; SKUs'!$E$2:$E$501,C$20)</f>
        <v>14</v>
      </c>
      <c r="D24" s="3" t="n">
        <f aca="false">COUNTIFS('Styles &amp; SKUs'!$F$2:$F$501,$A24,'Styles &amp; SKUs'!$E$2:$E$501,D$20)</f>
        <v>34</v>
      </c>
      <c r="E24" s="11" t="n">
        <f aca="false">SUM(B24:D24)</f>
        <v>60</v>
      </c>
    </row>
    <row r="25" customFormat="false" ht="15" hidden="false" customHeight="false" outlineLevel="0" collapsed="false">
      <c r="A25" s="3" t="s">
        <v>1335</v>
      </c>
      <c r="B25" s="3" t="n">
        <f aca="false">COUNTIFS('Styles &amp; SKUs'!$F$2:$F$501,$A25,'Styles &amp; SKUs'!$E$2:$E$501,B$20)</f>
        <v>12</v>
      </c>
      <c r="C25" s="3" t="n">
        <f aca="false">COUNTIFS('Styles &amp; SKUs'!$F$2:$F$501,$A25,'Styles &amp; SKUs'!$E$2:$E$501,C$20)</f>
        <v>12</v>
      </c>
      <c r="D25" s="3" t="n">
        <f aca="false">COUNTIFS('Styles &amp; SKUs'!$F$2:$F$501,$A25,'Styles &amp; SKUs'!$E$2:$E$501,D$20)</f>
        <v>43</v>
      </c>
      <c r="E25" s="11" t="n">
        <f aca="false">SUM(B25:D25)</f>
        <v>67</v>
      </c>
    </row>
    <row r="26" customFormat="false" ht="15" hidden="false" customHeight="false" outlineLevel="0" collapsed="false">
      <c r="A26" s="11" t="s">
        <v>2157</v>
      </c>
      <c r="B26" s="11" t="n">
        <f aca="false">SUM(B21:B25)</f>
        <v>118</v>
      </c>
      <c r="C26" s="11" t="n">
        <f aca="false">SUM(C21:C25)</f>
        <v>130</v>
      </c>
      <c r="D26" s="11" t="n">
        <f aca="false">SUM(D21:D25)</f>
        <v>252</v>
      </c>
      <c r="E26" s="11" t="n">
        <f aca="false">SUM(E21:E25)</f>
        <v>500</v>
      </c>
    </row>
    <row r="29" customFormat="false" ht="15" hidden="false" customHeight="false" outlineLevel="0" collapsed="false">
      <c r="A29" s="8" t="s">
        <v>2158</v>
      </c>
    </row>
    <row r="30" customFormat="false" ht="15" hidden="false" customHeight="false" outlineLevel="0" collapsed="false">
      <c r="A30" s="9" t="s">
        <v>2159</v>
      </c>
      <c r="B30" s="9" t="s">
        <v>2160</v>
      </c>
      <c r="C30" s="9" t="s">
        <v>2161</v>
      </c>
    </row>
    <row r="31" customFormat="false" ht="15" hidden="false" customHeight="false" outlineLevel="0" collapsed="false">
      <c r="A31" s="3" t="s">
        <v>2162</v>
      </c>
      <c r="B31" s="3" t="n">
        <f aca="false">COUNTIFS(Materials!$V$2:$V$221,"&gt;=0",Materials!$V$2:$V$221,"&lt;=0")</f>
        <v>22</v>
      </c>
      <c r="C31" s="10" t="n">
        <f aca="false">B31/SUM($B$31:$B$35)</f>
        <v>0.1</v>
      </c>
    </row>
    <row r="32" customFormat="false" ht="15" hidden="false" customHeight="false" outlineLevel="0" collapsed="false">
      <c r="A32" s="3" t="s">
        <v>2163</v>
      </c>
      <c r="B32" s="3" t="n">
        <f aca="false">COUNTIFS(Materials!$V$2:$V$221,"&gt;=1",Materials!$V$2:$V$221,"&lt;=1")</f>
        <v>72</v>
      </c>
      <c r="C32" s="10" t="n">
        <f aca="false">B32/SUM($B$31:$B$35)</f>
        <v>0.327272727272727</v>
      </c>
    </row>
    <row r="33" customFormat="false" ht="15" hidden="false" customHeight="false" outlineLevel="0" collapsed="false">
      <c r="A33" s="3" t="s">
        <v>2164</v>
      </c>
      <c r="B33" s="3" t="n">
        <f aca="false">COUNTIFS(Materials!$V$2:$V$221,"&gt;=2",Materials!$V$2:$V$221,"&lt;=2")</f>
        <v>48</v>
      </c>
      <c r="C33" s="10" t="n">
        <f aca="false">B33/SUM($B$31:$B$35)</f>
        <v>0.218181818181818</v>
      </c>
    </row>
    <row r="34" customFormat="false" ht="15" hidden="false" customHeight="false" outlineLevel="0" collapsed="false">
      <c r="A34" s="3" t="s">
        <v>2165</v>
      </c>
      <c r="B34" s="3" t="n">
        <f aca="false">COUNTIFS(Materials!$V$2:$V$221,"&gt;=3",Materials!$V$2:$V$221,"&lt;=4")</f>
        <v>66</v>
      </c>
      <c r="C34" s="10" t="n">
        <f aca="false">B34/SUM($B$31:$B$35)</f>
        <v>0.3</v>
      </c>
    </row>
    <row r="35" customFormat="false" ht="15" hidden="false" customHeight="false" outlineLevel="0" collapsed="false">
      <c r="A35" s="3" t="s">
        <v>2166</v>
      </c>
      <c r="B35" s="3" t="n">
        <f aca="false">COUNTIFS(Materials!$V$2:$V$221,"&gt;=5",Materials!$V$2:$V$221,"&lt;=99")</f>
        <v>12</v>
      </c>
      <c r="C35" s="10" t="n">
        <f aca="false">B35/SUM($B$31:$B$35)</f>
        <v>0.0545454545454545</v>
      </c>
    </row>
    <row r="36" customFormat="false" ht="15" hidden="false" customHeight="false" outlineLevel="0" collapsed="false">
      <c r="A36" s="11" t="s">
        <v>2167</v>
      </c>
      <c r="B36" s="12" t="n">
        <f aca="false">AVERAGE(Materials!$V$2:$V$221)</f>
        <v>2.05454545454545</v>
      </c>
    </row>
    <row r="37" customFormat="false" ht="15" hidden="false" customHeight="false" outlineLevel="0" collapsed="false">
      <c r="A37" s="13" t="s">
        <v>2168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s>
  <sheetData>
    <row r="1" customFormat="false" ht="17.35" hidden="false" customHeight="false" outlineLevel="0" collapsed="false">
      <c r="A1" s="14" t="s">
        <v>2169</v>
      </c>
      <c r="B1" s="15"/>
    </row>
    <row r="2" customFormat="false" ht="15" hidden="false" customHeight="false" outlineLevel="0" collapsed="false">
      <c r="A2" s="16"/>
      <c r="B2" s="15"/>
    </row>
    <row r="3" customFormat="false" ht="23.85" hidden="false" customHeight="false" outlineLevel="0" collapsed="false">
      <c r="A3" s="16" t="s">
        <v>2170</v>
      </c>
      <c r="B3" s="15" t="s">
        <v>2171</v>
      </c>
    </row>
    <row r="4" customFormat="false" ht="35.05" hidden="false" customHeight="false" outlineLevel="0" collapsed="false">
      <c r="A4" s="16" t="s">
        <v>2160</v>
      </c>
      <c r="B4" s="15" t="s">
        <v>2172</v>
      </c>
    </row>
    <row r="5" customFormat="false" ht="23.85" hidden="false" customHeight="false" outlineLevel="0" collapsed="false">
      <c r="A5" s="16" t="s">
        <v>2173</v>
      </c>
      <c r="B5" s="15" t="s">
        <v>2174</v>
      </c>
    </row>
    <row r="6" customFormat="false" ht="23.85" hidden="false" customHeight="false" outlineLevel="0" collapsed="false">
      <c r="A6" s="16" t="s">
        <v>2175</v>
      </c>
      <c r="B6" s="15" t="s">
        <v>2176</v>
      </c>
    </row>
    <row r="7" customFormat="false" ht="15" hidden="false" customHeight="false" outlineLevel="0" collapsed="false">
      <c r="A7" s="16" t="s">
        <v>2177</v>
      </c>
      <c r="B7" s="15" t="s">
        <v>2178</v>
      </c>
    </row>
    <row r="8" customFormat="false" ht="23.85" hidden="false" customHeight="false" outlineLevel="0" collapsed="false">
      <c r="A8" s="16" t="s">
        <v>2179</v>
      </c>
      <c r="B8" s="15" t="s">
        <v>2180</v>
      </c>
    </row>
    <row r="9" customFormat="false" ht="23.85" hidden="false" customHeight="false" outlineLevel="0" collapsed="false">
      <c r="A9" s="16" t="s">
        <v>2181</v>
      </c>
      <c r="B9" s="15" t="s">
        <v>2182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2026-10-20T12:46:09Z</dcterms:created>
  <dc:creator>openpyxl</dc:creator>
  <dc:description/>
  <dc:language>en-US</dc:language>
  <cp:lastModifiedBy/>
  <dcterms:modified xsi:type="dcterms:W3CDTF">2026-10-20T12:46:09Z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